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LENOVO\Desktop\"/>
    </mc:Choice>
  </mc:AlternateContent>
  <xr:revisionPtr revIDLastSave="0" documentId="8_{5F767990-EE69-4FC8-83DB-6C946F3305B2}" xr6:coauthVersionLast="47" xr6:coauthVersionMax="47" xr10:uidLastSave="{00000000-0000-0000-0000-000000000000}"/>
  <bookViews>
    <workbookView xWindow="-108" yWindow="-108" windowWidth="23256" windowHeight="12456" activeTab="1" xr2:uid="{BFD99743-757A-4DE2-B0F9-AF1307003EED}"/>
  </bookViews>
  <sheets>
    <sheet name="Pivot Report" sheetId="1" r:id="rId1"/>
    <sheet name="Dashboard" sheetId="2" r:id="rId2"/>
    <sheet name="Daily ER no of Patient" sheetId="4" r:id="rId3"/>
    <sheet name="Average Wait Time Daily Trend" sheetId="5" r:id="rId4"/>
    <sheet name="Satisfaction Score Daily Trends" sheetId="6" r:id="rId5"/>
  </sheets>
  <definedNames>
    <definedName name="Slicer_Date__Month">#N/A</definedName>
    <definedName name="Slicer_Date__Year">#N/A</definedName>
  </definedNames>
  <calcPr calcId="191029"/>
  <pivotCaches>
    <pivotCache cacheId="1821" r:id="rId6"/>
    <pivotCache cacheId="1824" r:id="rId7"/>
    <pivotCache cacheId="1827" r:id="rId8"/>
    <pivotCache cacheId="1830" r:id="rId9"/>
    <pivotCache cacheId="1833" r:id="rId10"/>
    <pivotCache cacheId="1836" r:id="rId11"/>
    <pivotCache cacheId="1839" r:id="rId12"/>
    <pivotCache cacheId="1842" r:id="rId13"/>
    <pivotCache cacheId="1845" r:id="rId14"/>
    <pivotCache cacheId="1848" r:id="rId15"/>
    <pivotCache cacheId="1851" r:id="rId16"/>
    <pivotCache cacheId="1854" r:id="rId17"/>
  </pivotCaches>
  <extLst>
    <ext xmlns:x14="http://schemas.microsoft.com/office/spreadsheetml/2009/9/main" uri="{876F7934-8845-4945-9796-88D515C7AA90}">
      <x14:pivotCaches>
        <pivotCache cacheId="93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90415d3-9c82-43c6-baa5-5f4f87c544a5" name="Hospital Emergency Room Data" connection="Query - Hospital Emergency Room Data"/>
          <x15:modelTable id="Calender_table_ef4fd1c0-d51f-413f-bcab-bf0dba17c461" name="Calender_table" connection="Query - Calender_table"/>
        </x15:modelTables>
        <x15:modelRelationships>
          <x15:modelRelationship fromTable="Hospital Emergency Room Data" fromColumn="Patient Admission Date.1"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9" i="1" l="1"/>
  <c r="C49" i="1"/>
  <c r="A49" i="1"/>
  <c r="B48" i="1"/>
  <c r="C48"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031BA4-36CB-4063-99C2-35D6035584E6}" name="Query - Calender_table" description="Connection to the 'Calender_table' query in the workbook." type="100" refreshedVersion="8" minRefreshableVersion="5">
    <extLst>
      <ext xmlns:x15="http://schemas.microsoft.com/office/spreadsheetml/2010/11/main" uri="{DE250136-89BD-433C-8126-D09CA5730AF9}">
        <x15:connection id="30ea0246-2a35-4ced-b074-ef8c0e705490"/>
      </ext>
    </extLst>
  </connection>
  <connection id="2" xr16:uid="{4CEBCC27-4343-4F05-827F-00A93320D91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97b9277-4927-456d-99f5-e3b6f001f274"/>
      </ext>
    </extLst>
  </connection>
  <connection id="3" xr16:uid="{D3A0B3F5-62F6-4016-B0FB-DD3B92D189C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<sst xmlns="http://schemas.openxmlformats.org/spreadsheetml/2006/main" count="148" uniqueCount="69">
  <si>
    <t xml:space="preserve"> </t>
  </si>
  <si>
    <t>Row Labels</t>
  </si>
  <si>
    <t>Grand Total</t>
  </si>
  <si>
    <t>Count of Patient Id</t>
  </si>
  <si>
    <t>Distinct Count of Patient Id</t>
  </si>
  <si>
    <t>No of patient</t>
  </si>
  <si>
    <t>Average of Patient Waittime</t>
  </si>
  <si>
    <t>Average of Patient Satisfaction Score</t>
  </si>
  <si>
    <t>2023</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</si>
  <si>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</si>
  <si>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</si>
  <si>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</si>
  <si>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</si>
  <si>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</si>
  <si>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</si>
  <si>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</si>
  <si>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</si>
  <si>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</si>
  <si>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</si>
  <si>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</si>
  <si>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</si>
  <si>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</si>
  <si>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</si>
  <si>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</si>
  <si>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</si>
  <si>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</si>
  <si>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</si>
  <si>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</si>
  <si>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</si>
  <si>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</si>
  <si>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</si>
  <si>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</si>
  <si>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</si>
  <si>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</si>
  <si>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</si>
  <si>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</si>
  <si>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</si>
  <si>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</si>
  <si>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</si>
  <si>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Male</t>
  </si>
  <si>
    <t>None</t>
  </si>
  <si>
    <t>Admitted</t>
  </si>
  <si>
    <t>0-9</t>
  </si>
  <si>
    <t>Delay</t>
  </si>
  <si>
    <t>10-19</t>
  </si>
  <si>
    <t>60-69</t>
  </si>
  <si>
    <t>Orthopedics</t>
  </si>
  <si>
    <t>Not Admitted</t>
  </si>
  <si>
    <t>50-59</t>
  </si>
  <si>
    <t>Physiotherapy</t>
  </si>
  <si>
    <t>Renal</t>
  </si>
  <si>
    <t>40-49</t>
  </si>
  <si>
    <t>Ontime</t>
  </si>
  <si>
    <t>70-79</t>
  </si>
  <si>
    <t>20-29</t>
  </si>
  <si>
    <t>Female</t>
  </si>
  <si>
    <t>Count of Patient Admission Flag</t>
  </si>
  <si>
    <t>Count of Patient Admission Flag2</t>
  </si>
  <si>
    <t>Admission Status</t>
  </si>
  <si>
    <t>No. of  Patient</t>
  </si>
  <si>
    <t>% Status</t>
  </si>
  <si>
    <t>30-39</t>
  </si>
  <si>
    <t>Count of Age Group</t>
  </si>
  <si>
    <t>Count of Patient Gender</t>
  </si>
  <si>
    <t>Cardiology</t>
  </si>
  <si>
    <t>Gastroenterology</t>
  </si>
  <si>
    <t>General Practice</t>
  </si>
  <si>
    <t>Neurology</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</si>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</sst>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theme="1"/>
      <name val="Aptos Narrow"/>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4" tint="0.39997558519241921"/>
        <bgColor indexed="64"/>
      </patternFill>
    </fill>
    <fill>
      <patternFill patternType="solid">
        <fgColor theme="1"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1" fontId="0" fillId="0" borderId="0" xfId="0" applyNumberFormat="1"/>
    <xf numFmtId="10" fontId="0" fillId="0" borderId="0" xfId="0" applyNumberFormat="1"/>
    <xf numFmtId="0" fontId="0" fillId="3" borderId="0" xfId="0" applyFill="1" applyAlignment="1">
      <alignment horizontal="center"/>
    </xf>
    <xf numFmtId="0" fontId="0" fillId="0" borderId="0" xfId="0" applyAlignment="1">
      <alignment horizontal="center"/>
    </xf>
    <xf numFmtId="9" fontId="0" fillId="0" borderId="0" xfId="1" applyFont="1" applyAlignment="1">
      <alignment horizontal="center"/>
    </xf>
    <xf numFmtId="0" fontId="0" fillId="4" borderId="0" xfId="0" applyFill="1"/>
  </cellXfs>
  <cellStyles count="2">
    <cellStyle name="Normal" xfId="0" builtinId="0"/>
    <cellStyle name="Percent" xfId="1" builtinId="5"/>
  </cellStyles>
  <dxfs count="70">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8"/>
        <color theme="1"/>
      </font>
      <fill>
        <patternFill>
          <bgColor theme="0" tint="-4.9989318521683403E-2"/>
        </patternFill>
      </fill>
      <border diagonalUp="0" diagonalDown="0">
        <left/>
        <right/>
        <top/>
        <bottom/>
        <vertical/>
        <horizontal/>
      </border>
    </dxf>
    <dxf>
      <numFmt numFmtId="2" formatCode="0.00"/>
    </dxf>
    <dxf>
      <numFmt numFmtId="2" formatCode="0.00"/>
    </dxf>
  </dxfs>
  <tableStyles count="1" defaultTableStyle="TableStyleMedium2" defaultPivotStyle="PivotStyleLight16">
    <tableStyle name="My Style" pivot="0" table="0" count="10" xr9:uid="{8B7DDB78-8F69-4D80-B5A0-AE8C62063447}">
      <tableStyleElement type="wholeTable" dxfId="67"/>
      <tableStyleElement type="headerRow" dxfId="6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300" b="0" i="0" u="none" strike="noStrike" kern="1200" baseline="0">
                    <a:solidFill>
                      <a:schemeClr val="tx1">
                        <a:lumMod val="75000"/>
                        <a:lumOff val="25000"/>
                      </a:schemeClr>
                    </a:solidFill>
                    <a:latin typeface="+mn-lt"/>
                    <a:ea typeface="+mn-ea"/>
                    <a:cs typeface="+mn-cs"/>
                  </a:defRPr>
                </a:pPr>
                <a:fld id="{3F0D6D5D-50BF-4D23-B4C7-72410461570D}" type="CELLRANGE">
                  <a:rPr lang="en-US"/>
                  <a:pPr>
                    <a:defRPr sz="3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300" b="0" i="0" u="none" strike="noStrike" kern="1200" baseline="0">
                    <a:solidFill>
                      <a:schemeClr val="tx1">
                        <a:lumMod val="75000"/>
                        <a:lumOff val="25000"/>
                      </a:schemeClr>
                    </a:solidFill>
                    <a:latin typeface="+mn-lt"/>
                    <a:ea typeface="+mn-ea"/>
                    <a:cs typeface="+mn-cs"/>
                  </a:defRPr>
                </a:pPr>
                <a:fld id="{AD15E34A-92CB-4AF7-A4F2-3657CF3442E4}" type="CELLRANGE">
                  <a:rPr lang="en-US"/>
                  <a:pPr>
                    <a:defRPr sz="300"/>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0.15275606940500666"/>
          <c:y val="0.20517916745792389"/>
          <c:w val="0.22798340417183829"/>
          <c:h val="0.54876386493278295"/>
        </c:manualLayout>
      </c:layout>
      <c:barChart>
        <c:barDir val="bar"/>
        <c:grouping val="clustered"/>
        <c:varyColors val="0"/>
        <c:ser>
          <c:idx val="0"/>
          <c:order val="0"/>
          <c:tx>
            <c:strRef>
              <c:f>'Pivot Report'!$C$40:$C$41</c:f>
              <c:strCache>
                <c:ptCount val="1"/>
                <c:pt idx="0">
                  <c:v>Count of Patient Admission Flag</c:v>
                </c:pt>
              </c:strCache>
            </c:strRef>
          </c:tx>
          <c:spPr>
            <a:solidFill>
              <a:schemeClr val="accent1"/>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300" b="0" i="0" u="none" strike="noStrike" kern="1200" baseline="0">
                        <a:solidFill>
                          <a:schemeClr val="tx1">
                            <a:lumMod val="75000"/>
                            <a:lumOff val="25000"/>
                          </a:schemeClr>
                        </a:solidFill>
                        <a:latin typeface="+mn-lt"/>
                        <a:ea typeface="+mn-ea"/>
                        <a:cs typeface="+mn-cs"/>
                      </a:defRPr>
                    </a:pPr>
                    <a:fld id="{3F0D6D5D-50BF-4D23-B4C7-72410461570D}" type="CELLRANGE">
                      <a:rPr lang="en-US"/>
                      <a:pPr>
                        <a:defRPr sz="3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1"/>
              <c:tx>
                <c:rich>
                  <a:bodyPr rot="0" spcFirstLastPara="1" vertOverflow="ellipsis" vert="horz" wrap="square" lIns="38100" tIns="19050" rIns="38100" bIns="19050" anchor="ctr" anchorCtr="1">
                    <a:noAutofit/>
                  </a:bodyPr>
                  <a:lstStyle/>
                  <a:p>
                    <a:pPr>
                      <a:defRPr sz="300" b="0" i="0" u="none" strike="noStrike" kern="1200" baseline="0">
                        <a:solidFill>
                          <a:schemeClr val="tx1">
                            <a:lumMod val="75000"/>
                            <a:lumOff val="25000"/>
                          </a:schemeClr>
                        </a:solidFill>
                        <a:latin typeface="+mn-lt"/>
                        <a:ea typeface="+mn-ea"/>
                        <a:cs typeface="+mn-cs"/>
                      </a:defRPr>
                    </a:pPr>
                    <a:fld id="{AD15E34A-92CB-4AF7-A4F2-3657CF3442E4}" type="CELLRANGE">
                      <a:rPr lang="en-US"/>
                      <a:pPr>
                        <a:defRPr sz="300"/>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Report'!$C$40:$C$41</c:f>
              <c:strCache>
                <c:ptCount val="2"/>
                <c:pt idx="0">
                  <c:v>Admitted</c:v>
                </c:pt>
                <c:pt idx="1">
                  <c:v>Not Admitted</c:v>
                </c:pt>
              </c:strCache>
            </c:strRef>
          </c:cat>
          <c:val>
            <c:numRef>
              <c:f>'Pivot Report'!$C$40:$C$41</c:f>
              <c:numCache>
                <c:formatCode>0</c:formatCode>
                <c:ptCount val="2"/>
                <c:pt idx="0">
                  <c:v>252</c:v>
                </c:pt>
                <c:pt idx="1">
                  <c:v>254</c:v>
                </c:pt>
              </c:numCache>
            </c:numRef>
          </c:val>
          <c:extLst>
            <c:ext xmlns:c16="http://schemas.microsoft.com/office/drawing/2014/chart" uri="{C3380CC4-5D6E-409C-BE32-E72D297353CC}">
              <c16:uniqueId val="{00000009-EAE5-4D68-A931-0DDB33940380}"/>
            </c:ext>
          </c:extLst>
        </c:ser>
        <c:ser>
          <c:idx val="1"/>
          <c:order val="1"/>
          <c:tx>
            <c:strRef>
              <c:f>'Pivot Report'!$C$40:$C$41</c:f>
              <c:strCache>
                <c:ptCount val="1"/>
                <c:pt idx="0">
                  <c:v>Count of Patient Admission Flag2</c:v>
                </c:pt>
              </c:strCache>
            </c:strRef>
          </c:tx>
          <c:spPr>
            <a:solidFill>
              <a:schemeClr val="accent2"/>
            </a:solidFill>
            <a:ln>
              <a:noFill/>
            </a:ln>
            <a:effectLst/>
          </c:spPr>
          <c:invertIfNegative val="0"/>
          <c:cat>
            <c:strRef>
              <c:f>'Pivot Report'!$C$40:$C$41</c:f>
              <c:strCache>
                <c:ptCount val="2"/>
                <c:pt idx="0">
                  <c:v>Admitted</c:v>
                </c:pt>
                <c:pt idx="1">
                  <c:v>Not Admitted</c:v>
                </c:pt>
              </c:strCache>
            </c:strRef>
          </c:cat>
          <c:val>
            <c:numRef>
              <c:f>'Pivot Report'!$C$40:$C$41</c:f>
              <c:numCache>
                <c:formatCode>0.00%</c:formatCode>
                <c:ptCount val="2"/>
                <c:pt idx="0">
                  <c:v>0.49802371541501977</c:v>
                </c:pt>
                <c:pt idx="1">
                  <c:v>0.50197628458498023</c:v>
                </c:pt>
              </c:numCache>
            </c:numRef>
          </c:val>
          <c:extLst>
            <c:ext xmlns:c16="http://schemas.microsoft.com/office/drawing/2014/chart" uri="{C3380CC4-5D6E-409C-BE32-E72D297353CC}">
              <c16:uniqueId val="{0000000A-EAE5-4D68-A931-0DDB33940380}"/>
            </c:ext>
          </c:extLst>
        </c:ser>
        <c:dLbls>
          <c:showLegendKey val="0"/>
          <c:showVal val="0"/>
          <c:showCatName val="0"/>
          <c:showSerName val="0"/>
          <c:showPercent val="0"/>
          <c:showBubbleSize val="0"/>
        </c:dLbls>
        <c:gapWidth val="182"/>
        <c:axId val="1393997280"/>
        <c:axId val="1393994400"/>
      </c:barChart>
      <c:catAx>
        <c:axId val="1393997280"/>
        <c:scaling>
          <c:orientation val="minMax"/>
        </c:scaling>
        <c:delete val="1"/>
        <c:axPos val="l"/>
        <c:numFmt formatCode="General" sourceLinked="1"/>
        <c:majorTickMark val="none"/>
        <c:minorTickMark val="none"/>
        <c:tickLblPos val="nextTo"/>
        <c:crossAx val="1393994400"/>
        <c:crosses val="autoZero"/>
        <c:auto val="1"/>
        <c:lblAlgn val="ctr"/>
        <c:lblOffset val="100"/>
        <c:noMultiLvlLbl val="0"/>
      </c:catAx>
      <c:valAx>
        <c:axId val="1393994400"/>
        <c:scaling>
          <c:orientation val="minMax"/>
        </c:scaling>
        <c:delete val="1"/>
        <c:axPos val="b"/>
        <c:numFmt formatCode="0" sourceLinked="1"/>
        <c:majorTickMark val="none"/>
        <c:minorTickMark val="none"/>
        <c:tickLblPos val="nextTo"/>
        <c:crossAx val="139399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68738805417294"/>
          <c:y val="0.28617904499010627"/>
          <c:w val="0.80655484142551215"/>
          <c:h val="0.43169376588807751"/>
        </c:manualLayout>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Report'!$E$6:$E$36</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4-FA71-41F0-9D0D-224C83E665E5}"/>
            </c:ext>
          </c:extLst>
        </c:ser>
        <c:dLbls>
          <c:showLegendKey val="0"/>
          <c:showVal val="0"/>
          <c:showCatName val="0"/>
          <c:showSerName val="0"/>
          <c:showPercent val="0"/>
          <c:showBubbleSize val="0"/>
        </c:dLbls>
        <c:axId val="1322662864"/>
        <c:axId val="1322664304"/>
      </c:areaChart>
      <c:catAx>
        <c:axId val="1322662864"/>
        <c:scaling>
          <c:orientation val="minMax"/>
        </c:scaling>
        <c:delete val="1"/>
        <c:axPos val="b"/>
        <c:numFmt formatCode="General" sourceLinked="1"/>
        <c:majorTickMark val="out"/>
        <c:minorTickMark val="none"/>
        <c:tickLblPos val="nextTo"/>
        <c:crossAx val="1322664304"/>
        <c:crosses val="autoZero"/>
        <c:auto val="1"/>
        <c:lblAlgn val="ctr"/>
        <c:lblOffset val="100"/>
        <c:noMultiLvlLbl val="0"/>
      </c:catAx>
      <c:valAx>
        <c:axId val="1322664304"/>
        <c:scaling>
          <c:orientation val="minMax"/>
        </c:scaling>
        <c:delete val="1"/>
        <c:axPos val="l"/>
        <c:numFmt formatCode="General" sourceLinked="1"/>
        <c:majorTickMark val="none"/>
        <c:minorTickMark val="none"/>
        <c:tickLblPos val="nextTo"/>
        <c:crossAx val="1322662864"/>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3151545151222058E-2"/>
          <c:w val="1"/>
          <c:h val="0.98684845484877792"/>
        </c:manualLayout>
      </c:layout>
      <c:areaChart>
        <c:grouping val="standard"/>
        <c:varyColors val="0"/>
        <c:ser>
          <c:idx val="0"/>
          <c:order val="0"/>
          <c:tx>
            <c:strRef>
              <c:f>'Pivot Report'!$I$5</c:f>
              <c:strCache>
                <c:ptCount val="1"/>
                <c:pt idx="0">
                  <c:v>Total</c:v>
                </c:pt>
              </c:strCache>
            </c:strRef>
          </c:tx>
          <c:spPr>
            <a:solidFill>
              <a:schemeClr val="accent1"/>
            </a:solidFill>
            <a:ln w="25400">
              <a:noFill/>
            </a:ln>
            <a:effectLst/>
          </c:spPr>
          <c:cat>
            <c:strRef>
              <c:f>'Pivot Report'!$H$6:$H$36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Report'!$I$6:$I$36</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4-FBDD-4AD1-A07B-68BF2A49F49C}"/>
            </c:ext>
          </c:extLst>
        </c:ser>
        <c:dLbls>
          <c:showLegendKey val="0"/>
          <c:showVal val="0"/>
          <c:showCatName val="0"/>
          <c:showSerName val="0"/>
          <c:showPercent val="0"/>
          <c:showBubbleSize val="0"/>
        </c:dLbls>
        <c:axId val="1326495200"/>
        <c:axId val="1326502880"/>
      </c:areaChart>
      <c:catAx>
        <c:axId val="1326495200"/>
        <c:scaling>
          <c:orientation val="minMax"/>
        </c:scaling>
        <c:delete val="1"/>
        <c:axPos val="b"/>
        <c:numFmt formatCode="General" sourceLinked="1"/>
        <c:majorTickMark val="out"/>
        <c:minorTickMark val="none"/>
        <c:tickLblPos val="nextTo"/>
        <c:crossAx val="1326502880"/>
        <c:crosses val="autoZero"/>
        <c:auto val="1"/>
        <c:lblAlgn val="ctr"/>
        <c:lblOffset val="100"/>
        <c:noMultiLvlLbl val="0"/>
      </c:catAx>
      <c:valAx>
        <c:axId val="1326502880"/>
        <c:scaling>
          <c:orientation val="minMax"/>
        </c:scaling>
        <c:delete val="1"/>
        <c:axPos val="l"/>
        <c:numFmt formatCode="0.00" sourceLinked="1"/>
        <c:majorTickMark val="none"/>
        <c:minorTickMark val="none"/>
        <c:tickLblPos val="nextTo"/>
        <c:crossAx val="132649520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Report!PivotTable6</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66666666666666663"/>
          <c:h val="0.43988534798017592"/>
        </c:manualLayout>
      </c:layout>
      <c:areaChart>
        <c:grouping val="standard"/>
        <c:varyColors val="0"/>
        <c:ser>
          <c:idx val="0"/>
          <c:order val="0"/>
          <c:tx>
            <c:strRef>
              <c:f>'Pivot Report'!$M$5</c:f>
              <c:strCache>
                <c:ptCount val="1"/>
                <c:pt idx="0">
                  <c:v>Total</c:v>
                </c:pt>
              </c:strCache>
            </c:strRef>
          </c:tx>
          <c:spPr>
            <a:solidFill>
              <a:schemeClr val="accent1"/>
            </a:solidFill>
            <a:ln w="25400">
              <a:noFill/>
            </a:ln>
            <a:effectLst/>
          </c:spPr>
          <c:cat>
            <c:strRef>
              <c:f>'Pivot Report'!$L$6:$L$36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Report'!$M$6:$M$36</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4-FB88-4BA3-A34A-F2EE365D3164}"/>
            </c:ext>
          </c:extLst>
        </c:ser>
        <c:dLbls>
          <c:showLegendKey val="0"/>
          <c:showVal val="0"/>
          <c:showCatName val="0"/>
          <c:showSerName val="0"/>
          <c:showPercent val="0"/>
          <c:showBubbleSize val="0"/>
        </c:dLbls>
        <c:axId val="1326515360"/>
        <c:axId val="1326522560"/>
      </c:areaChart>
      <c:catAx>
        <c:axId val="1326515360"/>
        <c:scaling>
          <c:orientation val="minMax"/>
        </c:scaling>
        <c:delete val="1"/>
        <c:axPos val="b"/>
        <c:numFmt formatCode="General" sourceLinked="1"/>
        <c:majorTickMark val="out"/>
        <c:minorTickMark val="none"/>
        <c:tickLblPos val="nextTo"/>
        <c:crossAx val="1326522560"/>
        <c:crosses val="autoZero"/>
        <c:auto val="1"/>
        <c:lblAlgn val="ctr"/>
        <c:lblOffset val="100"/>
        <c:noMultiLvlLbl val="0"/>
      </c:catAx>
      <c:valAx>
        <c:axId val="1326522560"/>
        <c:scaling>
          <c:orientation val="minMax"/>
        </c:scaling>
        <c:delete val="1"/>
        <c:axPos val="l"/>
        <c:numFmt formatCode="0.00" sourceLinked="1"/>
        <c:majorTickMark val="none"/>
        <c:minorTickMark val="none"/>
        <c:tickLblPos val="nextTo"/>
        <c:crossAx val="13265153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Report!PivotTable8</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288051780628071E-2"/>
          <c:y val="6.4812809393469228E-2"/>
          <c:w val="0.95477532286518563"/>
          <c:h val="0.80516786152368547"/>
        </c:manualLayout>
      </c:layout>
      <c:barChart>
        <c:barDir val="col"/>
        <c:grouping val="clustered"/>
        <c:varyColors val="0"/>
        <c:ser>
          <c:idx val="0"/>
          <c:order val="0"/>
          <c:tx>
            <c:strRef>
              <c:f>'Pivot Report'!$B$52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Report'!$A$53:$A$61</c:f>
              <c:strCache>
                <c:ptCount val="8"/>
                <c:pt idx="0">
                  <c:v>0-9</c:v>
                </c:pt>
                <c:pt idx="1">
                  <c:v>10-19</c:v>
                </c:pt>
                <c:pt idx="2">
                  <c:v>20-29</c:v>
                </c:pt>
                <c:pt idx="3">
                  <c:v>30-39</c:v>
                </c:pt>
                <c:pt idx="4">
                  <c:v>40-49</c:v>
                </c:pt>
                <c:pt idx="5">
                  <c:v>50-59</c:v>
                </c:pt>
                <c:pt idx="6">
                  <c:v>60-69</c:v>
                </c:pt>
                <c:pt idx="7">
                  <c:v>70-79</c:v>
                </c:pt>
              </c:strCache>
            </c:strRef>
          </c:cat>
          <c:val>
            <c:numRef>
              <c:f>'Pivot Report'!$B$53:$B$61</c:f>
              <c:numCache>
                <c:formatCode>0</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4-255D-4B1C-A9AA-B1EFFDD6FF51}"/>
            </c:ext>
          </c:extLst>
        </c:ser>
        <c:dLbls>
          <c:showLegendKey val="0"/>
          <c:showVal val="0"/>
          <c:showCatName val="0"/>
          <c:showSerName val="0"/>
          <c:showPercent val="0"/>
          <c:showBubbleSize val="0"/>
        </c:dLbls>
        <c:gapWidth val="219"/>
        <c:overlap val="-27"/>
        <c:axId val="1326441552"/>
        <c:axId val="1326442032"/>
      </c:barChart>
      <c:catAx>
        <c:axId val="132644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442032"/>
        <c:crosses val="autoZero"/>
        <c:auto val="1"/>
        <c:lblAlgn val="ctr"/>
        <c:lblOffset val="100"/>
        <c:noMultiLvlLbl val="0"/>
      </c:catAx>
      <c:valAx>
        <c:axId val="1326442032"/>
        <c:scaling>
          <c:orientation val="minMax"/>
        </c:scaling>
        <c:delete val="1"/>
        <c:axPos val="l"/>
        <c:numFmt formatCode="0" sourceLinked="1"/>
        <c:majorTickMark val="none"/>
        <c:minorTickMark val="none"/>
        <c:tickLblPos val="nextTo"/>
        <c:crossAx val="1326441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38292643356308"/>
          <c:y val="0.55492972648879324"/>
          <c:w val="0.80655484142551215"/>
          <c:h val="0.43169376588807751"/>
        </c:manualLayout>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Report'!$E$6:$E$36</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3-5CAF-4597-B04E-5D9F2815D605}"/>
            </c:ext>
          </c:extLst>
        </c:ser>
        <c:dLbls>
          <c:showLegendKey val="0"/>
          <c:showVal val="0"/>
          <c:showCatName val="0"/>
          <c:showSerName val="0"/>
          <c:showPercent val="0"/>
          <c:showBubbleSize val="0"/>
        </c:dLbls>
        <c:axId val="1322662864"/>
        <c:axId val="1322664304"/>
      </c:areaChart>
      <c:catAx>
        <c:axId val="1322662864"/>
        <c:scaling>
          <c:orientation val="minMax"/>
        </c:scaling>
        <c:delete val="1"/>
        <c:axPos val="b"/>
        <c:numFmt formatCode="General" sourceLinked="1"/>
        <c:majorTickMark val="out"/>
        <c:minorTickMark val="none"/>
        <c:tickLblPos val="nextTo"/>
        <c:crossAx val="1322664304"/>
        <c:crosses val="autoZero"/>
        <c:auto val="1"/>
        <c:lblAlgn val="ctr"/>
        <c:lblOffset val="100"/>
        <c:noMultiLvlLbl val="0"/>
      </c:catAx>
      <c:valAx>
        <c:axId val="1322664304"/>
        <c:scaling>
          <c:orientation val="minMax"/>
        </c:scaling>
        <c:delete val="1"/>
        <c:axPos val="l"/>
        <c:numFmt formatCode="General" sourceLinked="1"/>
        <c:majorTickMark val="none"/>
        <c:minorTickMark val="none"/>
        <c:tickLblPos val="nextTo"/>
        <c:crossAx val="1322662864"/>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Report!PivotTable9</c:name>
    <c:fmtId val="4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2"/>
                  </a:solidFill>
                  <a:latin typeface="+mn-lt"/>
                  <a:ea typeface="+mn-ea"/>
                  <a:cs typeface="+mn-cs"/>
                </a:defRPr>
              </a:pPr>
              <a:endParaRPr lang="en-US"/>
            </a:p>
          </c:txPr>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2"/>
                  </a:solidFill>
                  <a:latin typeface="+mn-lt"/>
                  <a:ea typeface="+mn-ea"/>
                  <a:cs typeface="+mn-cs"/>
                </a:defRPr>
              </a:pPr>
              <a:endParaRPr lang="en-US"/>
            </a:p>
          </c:txPr>
        </c:dLbl>
      </c:pivotFmt>
    </c:pivotFmts>
    <c:plotArea>
      <c:layout>
        <c:manualLayout>
          <c:layoutTarget val="inner"/>
          <c:xMode val="edge"/>
          <c:yMode val="edge"/>
          <c:x val="0.29849304812468591"/>
          <c:y val="0.2082012602503078"/>
          <c:w val="0.5193629470344705"/>
          <c:h val="0.56018269066344517"/>
        </c:manualLayout>
      </c:layout>
      <c:pieChart>
        <c:varyColors val="1"/>
        <c:ser>
          <c:idx val="0"/>
          <c:order val="0"/>
          <c:tx>
            <c:strRef>
              <c:f>'Pivot Report'!$B$64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Report'!$A$65:$A$67</c:f>
              <c:strCache>
                <c:ptCount val="2"/>
                <c:pt idx="0">
                  <c:v>Delay</c:v>
                </c:pt>
                <c:pt idx="1">
                  <c:v>Ontime</c:v>
                </c:pt>
              </c:strCache>
            </c:strRef>
          </c:cat>
          <c:val>
            <c:numRef>
              <c:f>'Pivot Report'!$B$65:$B$67</c:f>
              <c:numCache>
                <c:formatCode>0</c:formatCode>
                <c:ptCount val="2"/>
                <c:pt idx="0">
                  <c:v>311</c:v>
                </c:pt>
                <c:pt idx="1">
                  <c:v>195</c:v>
                </c:pt>
              </c:numCache>
            </c:numRef>
          </c:val>
          <c:extLst>
            <c:ext xmlns:c16="http://schemas.microsoft.com/office/drawing/2014/chart" uri="{C3380CC4-5D6E-409C-BE32-E72D297353CC}">
              <c16:uniqueId val="{00000008-EBA1-450B-BD7E-E09202B1F52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0657684668268886"/>
          <c:y val="5.4376237861068259E-2"/>
          <c:w val="0.65090500870052748"/>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Report!PivotTable10</c:name>
    <c:fmtId val="52"/>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771159003642705"/>
          <c:y val="0.21788154306075164"/>
          <c:w val="0.58098042454653054"/>
          <c:h val="0.56876540798235486"/>
        </c:manualLayout>
      </c:layout>
      <c:doughnutChart>
        <c:varyColors val="1"/>
        <c:ser>
          <c:idx val="0"/>
          <c:order val="0"/>
          <c:tx>
            <c:strRef>
              <c:f>'Pivot Report'!$B$70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Report'!$A$71:$A$73</c:f>
              <c:strCache>
                <c:ptCount val="2"/>
                <c:pt idx="0">
                  <c:v>Female</c:v>
                </c:pt>
                <c:pt idx="1">
                  <c:v>Male</c:v>
                </c:pt>
              </c:strCache>
            </c:strRef>
          </c:cat>
          <c:val>
            <c:numRef>
              <c:f>'Pivot Report'!$B$71:$B$73</c:f>
              <c:numCache>
                <c:formatCode>0.00</c:formatCode>
                <c:ptCount val="2"/>
                <c:pt idx="0">
                  <c:v>233</c:v>
                </c:pt>
                <c:pt idx="1">
                  <c:v>273</c:v>
                </c:pt>
              </c:numCache>
            </c:numRef>
          </c:val>
          <c:extLst>
            <c:ext xmlns:c16="http://schemas.microsoft.com/office/drawing/2014/chart" uri="{C3380CC4-5D6E-409C-BE32-E72D297353CC}">
              <c16:uniqueId val="{00000008-777A-455E-AEBF-A95BFC829CFC}"/>
            </c:ext>
          </c:extLst>
        </c:ser>
        <c:dLbls>
          <c:showLegendKey val="0"/>
          <c:showVal val="0"/>
          <c:showCatName val="0"/>
          <c:showSerName val="0"/>
          <c:showPercent val="1"/>
          <c:showBubbleSize val="0"/>
          <c:showLeaderLines val="1"/>
        </c:dLbls>
        <c:firstSliceAng val="0"/>
        <c:holeSize val="43"/>
      </c:doughnutChart>
      <c:spPr>
        <a:noFill/>
        <a:ln>
          <a:noFill/>
        </a:ln>
        <a:effectLst/>
      </c:spPr>
    </c:plotArea>
    <c:legend>
      <c:legendPos val="r"/>
      <c:layout>
        <c:manualLayout>
          <c:xMode val="edge"/>
          <c:yMode val="edge"/>
          <c:x val="0.22360470226323889"/>
          <c:y val="3.0469902677941817E-2"/>
          <c:w val="0.43262629012894122"/>
          <c:h val="0.182408321974341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Report!PivotTable11</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69450733425865"/>
          <c:y val="3.229166236270084E-2"/>
          <c:w val="0.72700272893273332"/>
          <c:h val="0.91119792850257264"/>
        </c:manualLayout>
      </c:layout>
      <c:barChart>
        <c:barDir val="bar"/>
        <c:grouping val="clustered"/>
        <c:varyColors val="0"/>
        <c:ser>
          <c:idx val="0"/>
          <c:order val="0"/>
          <c:tx>
            <c:strRef>
              <c:f>'Pivot Report'!$C$76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Report'!$B$77:$B$85</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Report'!$C$77:$C$85</c:f>
              <c:numCache>
                <c:formatCode>0</c:formatCode>
                <c:ptCount val="8"/>
                <c:pt idx="0">
                  <c:v>12</c:v>
                </c:pt>
                <c:pt idx="1">
                  <c:v>11</c:v>
                </c:pt>
                <c:pt idx="2">
                  <c:v>83</c:v>
                </c:pt>
                <c:pt idx="3">
                  <c:v>15</c:v>
                </c:pt>
                <c:pt idx="4">
                  <c:v>305</c:v>
                </c:pt>
                <c:pt idx="5">
                  <c:v>60</c:v>
                </c:pt>
                <c:pt idx="6">
                  <c:v>18</c:v>
                </c:pt>
                <c:pt idx="7">
                  <c:v>2</c:v>
                </c:pt>
              </c:numCache>
            </c:numRef>
          </c:val>
          <c:extLst>
            <c:ext xmlns:c16="http://schemas.microsoft.com/office/drawing/2014/chart" uri="{C3380CC4-5D6E-409C-BE32-E72D297353CC}">
              <c16:uniqueId val="{00000004-70AF-49F1-8AA4-331A5C4EB57B}"/>
            </c:ext>
          </c:extLst>
        </c:ser>
        <c:dLbls>
          <c:showLegendKey val="0"/>
          <c:showVal val="0"/>
          <c:showCatName val="0"/>
          <c:showSerName val="0"/>
          <c:showPercent val="0"/>
          <c:showBubbleSize val="0"/>
        </c:dLbls>
        <c:gapWidth val="71"/>
        <c:axId val="1478902352"/>
        <c:axId val="1478902832"/>
      </c:barChart>
      <c:catAx>
        <c:axId val="147890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78902832"/>
        <c:crosses val="autoZero"/>
        <c:auto val="1"/>
        <c:lblAlgn val="ctr"/>
        <c:lblOffset val="100"/>
        <c:noMultiLvlLbl val="0"/>
      </c:catAx>
      <c:valAx>
        <c:axId val="1478902832"/>
        <c:scaling>
          <c:orientation val="minMax"/>
        </c:scaling>
        <c:delete val="1"/>
        <c:axPos val="b"/>
        <c:numFmt formatCode="0" sourceLinked="1"/>
        <c:majorTickMark val="none"/>
        <c:minorTickMark val="none"/>
        <c:tickLblPos val="nextTo"/>
        <c:crossAx val="1478902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Report'!$E$5</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Report'!$D$6:$D$36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Report'!$E$6:$E$36</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0-7D95-4BD2-A38D-7A0D5CA1B85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479165376"/>
        <c:axId val="1479163456"/>
      </c:areaChart>
      <c:catAx>
        <c:axId val="147916537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479163456"/>
        <c:crosses val="autoZero"/>
        <c:auto val="1"/>
        <c:lblAlgn val="ctr"/>
        <c:lblOffset val="100"/>
        <c:noMultiLvlLbl val="0"/>
      </c:catAx>
      <c:valAx>
        <c:axId val="14791634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9165376"/>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23202285884475E-2"/>
          <c:y val="0"/>
          <c:w val="0.93594695277452022"/>
          <c:h val="0.81804446926971652"/>
        </c:manualLayout>
      </c:layout>
      <c:areaChart>
        <c:grouping val="standard"/>
        <c:varyColors val="0"/>
        <c:ser>
          <c:idx val="0"/>
          <c:order val="0"/>
          <c:tx>
            <c:strRef>
              <c:f>'Pivot Report'!$I$5</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Report'!$H$6:$H$36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Report'!$I$6:$I$36</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0-F303-48CB-9EE9-B58D9E11B79E}"/>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970200096"/>
        <c:axId val="970201536"/>
      </c:areaChart>
      <c:catAx>
        <c:axId val="97020009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970201536"/>
        <c:crosses val="autoZero"/>
        <c:auto val="1"/>
        <c:lblAlgn val="ctr"/>
        <c:lblOffset val="100"/>
        <c:noMultiLvlLbl val="0"/>
      </c:catAx>
      <c:valAx>
        <c:axId val="970201536"/>
        <c:scaling>
          <c:orientation val="minMax"/>
        </c:scaling>
        <c:delete val="1"/>
        <c:axPos val="l"/>
        <c:numFmt formatCode="0.00" sourceLinked="1"/>
        <c:majorTickMark val="out"/>
        <c:minorTickMark val="none"/>
        <c:tickLblPos val="nextTo"/>
        <c:crossAx val="9702000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Report!PivotTable6</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Report'!$M$5</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Report'!$L$6:$L$36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Report'!$M$6:$M$36</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0-AEF5-4551-A9F0-94723DC979AE}"/>
            </c:ext>
          </c:extLst>
        </c:ser>
        <c:dLbls>
          <c:showLegendKey val="0"/>
          <c:showVal val="0"/>
          <c:showCatName val="0"/>
          <c:showSerName val="0"/>
          <c:showPercent val="0"/>
          <c:showBubbleSize val="0"/>
        </c:dLbls>
        <c:axId val="1403452496"/>
        <c:axId val="1403453456"/>
      </c:areaChart>
      <c:catAx>
        <c:axId val="140345249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403453456"/>
        <c:crosses val="autoZero"/>
        <c:auto val="1"/>
        <c:lblAlgn val="ctr"/>
        <c:lblOffset val="100"/>
        <c:noMultiLvlLbl val="0"/>
      </c:catAx>
      <c:valAx>
        <c:axId val="1403453456"/>
        <c:scaling>
          <c:orientation val="minMax"/>
        </c:scaling>
        <c:delete val="1"/>
        <c:axPos val="l"/>
        <c:numFmt formatCode="0.00" sourceLinked="1"/>
        <c:majorTickMark val="out"/>
        <c:minorTickMark val="none"/>
        <c:tickLblPos val="nextTo"/>
        <c:crossAx val="14034524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hyperlink" Target="#'Average Wait Time Daily Trend'!A1"/><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3.xml"/><Relationship Id="rId5" Type="http://schemas.openxmlformats.org/officeDocument/2006/relationships/image" Target="../media/image4.png"/><Relationship Id="rId15" Type="http://schemas.openxmlformats.org/officeDocument/2006/relationships/chart" Target="../charts/chart5.xml"/><Relationship Id="rId10" Type="http://schemas.openxmlformats.org/officeDocument/2006/relationships/chart" Target="../charts/chart2.xml"/><Relationship Id="rId19" Type="http://schemas.openxmlformats.org/officeDocument/2006/relationships/chart" Target="../charts/chart9.xml"/><Relationship Id="rId4" Type="http://schemas.openxmlformats.org/officeDocument/2006/relationships/image" Target="../media/image3.svg"/><Relationship Id="rId9" Type="http://schemas.openxmlformats.org/officeDocument/2006/relationships/hyperlink" Target="#'Daily ER no of Patient'!A1"/><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598515</xdr:colOff>
      <xdr:row>46</xdr:row>
      <xdr:rowOff>73257</xdr:rowOff>
    </xdr:from>
    <xdr:to>
      <xdr:col>4</xdr:col>
      <xdr:colOff>885997</xdr:colOff>
      <xdr:row>49</xdr:row>
      <xdr:rowOff>145991</xdr:rowOff>
    </xdr:to>
    <xdr:graphicFrame macro="">
      <xdr:nvGraphicFramePr>
        <xdr:cNvPr id="7" name="Chart 6">
          <a:extLst>
            <a:ext uri="{FF2B5EF4-FFF2-40B4-BE49-F238E27FC236}">
              <a16:creationId xmlns:a16="http://schemas.microsoft.com/office/drawing/2014/main" id="{CA34D554-FDCF-4D91-7A0D-CB5F1261E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143933</xdr:colOff>
      <xdr:row>0</xdr:row>
      <xdr:rowOff>101600</xdr:rowOff>
    </xdr:from>
    <xdr:to>
      <xdr:col>9</xdr:col>
      <xdr:colOff>59267</xdr:colOff>
      <xdr:row>5</xdr:row>
      <xdr:rowOff>0</xdr:rowOff>
    </xdr:to>
    <xdr:sp macro="" textlink="">
      <xdr:nvSpPr>
        <xdr:cNvPr id="2" name="Rectangle: Rounded Corners 1">
          <a:extLst>
            <a:ext uri="{FF2B5EF4-FFF2-40B4-BE49-F238E27FC236}">
              <a16:creationId xmlns:a16="http://schemas.microsoft.com/office/drawing/2014/main" id="{A7FA29A6-2ACB-27DA-A33C-356B84EB482A}"/>
            </a:ext>
          </a:extLst>
        </xdr:cNvPr>
        <xdr:cNvSpPr/>
      </xdr:nvSpPr>
      <xdr:spPr>
        <a:xfrm>
          <a:off x="143933" y="101600"/>
          <a:ext cx="5401734" cy="82973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9</xdr:col>
      <xdr:colOff>177800</xdr:colOff>
      <xdr:row>0</xdr:row>
      <xdr:rowOff>110067</xdr:rowOff>
    </xdr:from>
    <xdr:to>
      <xdr:col>11</xdr:col>
      <xdr:colOff>584200</xdr:colOff>
      <xdr:row>5</xdr:row>
      <xdr:rowOff>8467</xdr:rowOff>
    </xdr:to>
    <xdr:sp macro="" textlink="">
      <xdr:nvSpPr>
        <xdr:cNvPr id="3" name="Rectangle: Rounded Corners 2">
          <a:extLst>
            <a:ext uri="{FF2B5EF4-FFF2-40B4-BE49-F238E27FC236}">
              <a16:creationId xmlns:a16="http://schemas.microsoft.com/office/drawing/2014/main" id="{EC9CD7CD-3ED6-6CA7-B31F-DF50253746DC}"/>
            </a:ext>
          </a:extLst>
        </xdr:cNvPr>
        <xdr:cNvSpPr/>
      </xdr:nvSpPr>
      <xdr:spPr>
        <a:xfrm>
          <a:off x="5664200" y="110067"/>
          <a:ext cx="1625600" cy="82973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110065</xdr:colOff>
      <xdr:row>0</xdr:row>
      <xdr:rowOff>133622</xdr:rowOff>
    </xdr:from>
    <xdr:to>
      <xdr:col>15</xdr:col>
      <xdr:colOff>220132</xdr:colOff>
      <xdr:row>10</xdr:row>
      <xdr:rowOff>108222</xdr:rowOff>
    </xdr:to>
    <xdr:sp macro="" textlink="">
      <xdr:nvSpPr>
        <xdr:cNvPr id="4" name="Rectangle: Rounded Corners 3">
          <a:extLst>
            <a:ext uri="{FF2B5EF4-FFF2-40B4-BE49-F238E27FC236}">
              <a16:creationId xmlns:a16="http://schemas.microsoft.com/office/drawing/2014/main" id="{A5C5CD4D-ABD9-52A3-E299-9AE08B634627}"/>
            </a:ext>
          </a:extLst>
        </xdr:cNvPr>
        <xdr:cNvSpPr/>
      </xdr:nvSpPr>
      <xdr:spPr>
        <a:xfrm>
          <a:off x="7465022" y="133622"/>
          <a:ext cx="1948806" cy="1796774"/>
        </a:xfrm>
        <a:prstGeom prst="roundRect">
          <a:avLst>
            <a:gd name="adj" fmla="val 330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347132</xdr:colOff>
      <xdr:row>0</xdr:row>
      <xdr:rowOff>127000</xdr:rowOff>
    </xdr:from>
    <xdr:to>
      <xdr:col>18</xdr:col>
      <xdr:colOff>457199</xdr:colOff>
      <xdr:row>10</xdr:row>
      <xdr:rowOff>101600</xdr:rowOff>
    </xdr:to>
    <xdr:sp macro="" textlink="">
      <xdr:nvSpPr>
        <xdr:cNvPr id="5" name="Rectangle: Rounded Corners 4">
          <a:extLst>
            <a:ext uri="{FF2B5EF4-FFF2-40B4-BE49-F238E27FC236}">
              <a16:creationId xmlns:a16="http://schemas.microsoft.com/office/drawing/2014/main" id="{EFCA3845-CCDD-D553-2C5E-22E9253AB8DF}"/>
            </a:ext>
          </a:extLst>
        </xdr:cNvPr>
        <xdr:cNvSpPr/>
      </xdr:nvSpPr>
      <xdr:spPr>
        <a:xfrm>
          <a:off x="9540828" y="127000"/>
          <a:ext cx="1948806" cy="1796774"/>
        </a:xfrm>
        <a:prstGeom prst="roundRect">
          <a:avLst>
            <a:gd name="adj" fmla="val 422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169334</xdr:colOff>
      <xdr:row>5</xdr:row>
      <xdr:rowOff>80056</xdr:rowOff>
    </xdr:from>
    <xdr:to>
      <xdr:col>1</xdr:col>
      <xdr:colOff>474134</xdr:colOff>
      <xdr:row>29</xdr:row>
      <xdr:rowOff>17520</xdr:rowOff>
    </xdr:to>
    <xdr:sp macro="" textlink="">
      <xdr:nvSpPr>
        <xdr:cNvPr id="8" name="Rectangle: Rounded Corners 7">
          <a:extLst>
            <a:ext uri="{FF2B5EF4-FFF2-40B4-BE49-F238E27FC236}">
              <a16:creationId xmlns:a16="http://schemas.microsoft.com/office/drawing/2014/main" id="{452C7F53-E41F-F8FE-7AB2-32927194FE4F}"/>
            </a:ext>
          </a:extLst>
        </xdr:cNvPr>
        <xdr:cNvSpPr/>
      </xdr:nvSpPr>
      <xdr:spPr>
        <a:xfrm>
          <a:off x="169334" y="985403"/>
          <a:ext cx="915909" cy="4283127"/>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4192</xdr:colOff>
      <xdr:row>5</xdr:row>
      <xdr:rowOff>116857</xdr:rowOff>
    </xdr:from>
    <xdr:to>
      <xdr:col>5</xdr:col>
      <xdr:colOff>98603</xdr:colOff>
      <xdr:row>11</xdr:row>
      <xdr:rowOff>108390</xdr:rowOff>
    </xdr:to>
    <xdr:sp macro="" textlink="">
      <xdr:nvSpPr>
        <xdr:cNvPr id="9" name="Rectangle: Rounded Corners 8">
          <a:extLst>
            <a:ext uri="{FF2B5EF4-FFF2-40B4-BE49-F238E27FC236}">
              <a16:creationId xmlns:a16="http://schemas.microsoft.com/office/drawing/2014/main" id="{6C5D0385-8269-7826-6B74-6C56F12E64B1}"/>
            </a:ext>
          </a:extLst>
        </xdr:cNvPr>
        <xdr:cNvSpPr/>
      </xdr:nvSpPr>
      <xdr:spPr>
        <a:xfrm>
          <a:off x="1226410" y="1022204"/>
          <a:ext cx="1927738" cy="107794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226327</xdr:colOff>
      <xdr:row>5</xdr:row>
      <xdr:rowOff>109313</xdr:rowOff>
    </xdr:from>
    <xdr:to>
      <xdr:col>8</xdr:col>
      <xdr:colOff>319229</xdr:colOff>
      <xdr:row>11</xdr:row>
      <xdr:rowOff>100846</xdr:rowOff>
    </xdr:to>
    <xdr:sp macro="" textlink="">
      <xdr:nvSpPr>
        <xdr:cNvPr id="10" name="Rectangle: Rounded Corners 9">
          <a:extLst>
            <a:ext uri="{FF2B5EF4-FFF2-40B4-BE49-F238E27FC236}">
              <a16:creationId xmlns:a16="http://schemas.microsoft.com/office/drawing/2014/main" id="{89FDB40C-8EF9-9E01-D221-1A022099ABBF}"/>
            </a:ext>
          </a:extLst>
        </xdr:cNvPr>
        <xdr:cNvSpPr/>
      </xdr:nvSpPr>
      <xdr:spPr>
        <a:xfrm>
          <a:off x="3281872" y="1014660"/>
          <a:ext cx="1926228" cy="107794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507310</xdr:colOff>
      <xdr:row>5</xdr:row>
      <xdr:rowOff>101769</xdr:rowOff>
    </xdr:from>
    <xdr:to>
      <xdr:col>11</xdr:col>
      <xdr:colOff>600212</xdr:colOff>
      <xdr:row>11</xdr:row>
      <xdr:rowOff>93302</xdr:rowOff>
    </xdr:to>
    <xdr:sp macro="" textlink="">
      <xdr:nvSpPr>
        <xdr:cNvPr id="11" name="Rectangle: Rounded Corners 10">
          <a:extLst>
            <a:ext uri="{FF2B5EF4-FFF2-40B4-BE49-F238E27FC236}">
              <a16:creationId xmlns:a16="http://schemas.microsoft.com/office/drawing/2014/main" id="{3C183AEA-C9F6-77F0-B5AE-8433283A6776}"/>
            </a:ext>
          </a:extLst>
        </xdr:cNvPr>
        <xdr:cNvSpPr/>
      </xdr:nvSpPr>
      <xdr:spPr>
        <a:xfrm>
          <a:off x="5396181" y="1007116"/>
          <a:ext cx="1926229" cy="107794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600213</xdr:colOff>
      <xdr:row>17</xdr:row>
      <xdr:rowOff>53163</xdr:rowOff>
    </xdr:from>
    <xdr:to>
      <xdr:col>12</xdr:col>
      <xdr:colOff>57979</xdr:colOff>
      <xdr:row>29</xdr:row>
      <xdr:rowOff>38309</xdr:rowOff>
    </xdr:to>
    <xdr:sp macro="" textlink="">
      <xdr:nvSpPr>
        <xdr:cNvPr id="13" name="Rectangle: Rounded Corners 12">
          <a:extLst>
            <a:ext uri="{FF2B5EF4-FFF2-40B4-BE49-F238E27FC236}">
              <a16:creationId xmlns:a16="http://schemas.microsoft.com/office/drawing/2014/main" id="{E3DAD487-E08B-A627-5304-07111F220992}"/>
            </a:ext>
          </a:extLst>
        </xdr:cNvPr>
        <xdr:cNvSpPr/>
      </xdr:nvSpPr>
      <xdr:spPr>
        <a:xfrm>
          <a:off x="1211585" y="3216349"/>
          <a:ext cx="6182859" cy="2217983"/>
        </a:xfrm>
        <a:prstGeom prst="roundRect">
          <a:avLst>
            <a:gd name="adj" fmla="val 714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6559</xdr:colOff>
      <xdr:row>12</xdr:row>
      <xdr:rowOff>38841</xdr:rowOff>
    </xdr:from>
    <xdr:to>
      <xdr:col>12</xdr:col>
      <xdr:colOff>76064</xdr:colOff>
      <xdr:row>16</xdr:row>
      <xdr:rowOff>88606</xdr:rowOff>
    </xdr:to>
    <xdr:sp macro="" textlink="">
      <xdr:nvSpPr>
        <xdr:cNvPr id="14" name="Rectangle: Rounded Corners 13">
          <a:extLst>
            <a:ext uri="{FF2B5EF4-FFF2-40B4-BE49-F238E27FC236}">
              <a16:creationId xmlns:a16="http://schemas.microsoft.com/office/drawing/2014/main" id="{6D5ACEB0-B34C-8410-5550-13E41345E11D}"/>
            </a:ext>
          </a:extLst>
        </xdr:cNvPr>
        <xdr:cNvSpPr/>
      </xdr:nvSpPr>
      <xdr:spPr>
        <a:xfrm>
          <a:off x="1229303" y="2271678"/>
          <a:ext cx="6183226" cy="794044"/>
        </a:xfrm>
        <a:prstGeom prst="roundRect">
          <a:avLst>
            <a:gd name="adj" fmla="val 467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592667</xdr:colOff>
      <xdr:row>30</xdr:row>
      <xdr:rowOff>93134</xdr:rowOff>
    </xdr:from>
    <xdr:to>
      <xdr:col>5</xdr:col>
      <xdr:colOff>75969</xdr:colOff>
      <xdr:row>36</xdr:row>
      <xdr:rowOff>84666</xdr:rowOff>
    </xdr:to>
    <xdr:sp macro="" textlink="">
      <xdr:nvSpPr>
        <xdr:cNvPr id="15" name="Rectangle: Rounded Corners 14">
          <a:extLst>
            <a:ext uri="{FF2B5EF4-FFF2-40B4-BE49-F238E27FC236}">
              <a16:creationId xmlns:a16="http://schemas.microsoft.com/office/drawing/2014/main" id="{293C24C9-EC77-51D5-A044-A44838A487AF}"/>
            </a:ext>
          </a:extLst>
        </xdr:cNvPr>
        <xdr:cNvSpPr/>
      </xdr:nvSpPr>
      <xdr:spPr>
        <a:xfrm>
          <a:off x="1202267" y="5681134"/>
          <a:ext cx="1921702" cy="1109132"/>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211668</xdr:colOff>
      <xdr:row>11</xdr:row>
      <xdr:rowOff>42333</xdr:rowOff>
    </xdr:from>
    <xdr:to>
      <xdr:col>18</xdr:col>
      <xdr:colOff>457200</xdr:colOff>
      <xdr:row>29</xdr:row>
      <xdr:rowOff>41413</xdr:rowOff>
    </xdr:to>
    <xdr:sp macro="" textlink="">
      <xdr:nvSpPr>
        <xdr:cNvPr id="16" name="Rectangle: Rounded Corners 15">
          <a:extLst>
            <a:ext uri="{FF2B5EF4-FFF2-40B4-BE49-F238E27FC236}">
              <a16:creationId xmlns:a16="http://schemas.microsoft.com/office/drawing/2014/main" id="{3F66B39E-F5CA-B4D4-6C62-E7D0F74A7B0C}"/>
            </a:ext>
          </a:extLst>
        </xdr:cNvPr>
        <xdr:cNvSpPr/>
      </xdr:nvSpPr>
      <xdr:spPr>
        <a:xfrm>
          <a:off x="7487539" y="2025172"/>
          <a:ext cx="3883467" cy="3243725"/>
        </a:xfrm>
        <a:prstGeom prst="roundRect">
          <a:avLst>
            <a:gd name="adj" fmla="val 335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355600</xdr:colOff>
      <xdr:row>0</xdr:row>
      <xdr:rowOff>143933</xdr:rowOff>
    </xdr:from>
    <xdr:to>
      <xdr:col>8</xdr:col>
      <xdr:colOff>431800</xdr:colOff>
      <xdr:row>2</xdr:row>
      <xdr:rowOff>59267</xdr:rowOff>
    </xdr:to>
    <xdr:sp macro="" textlink="">
      <xdr:nvSpPr>
        <xdr:cNvPr id="17" name="TextBox 16">
          <a:extLst>
            <a:ext uri="{FF2B5EF4-FFF2-40B4-BE49-F238E27FC236}">
              <a16:creationId xmlns:a16="http://schemas.microsoft.com/office/drawing/2014/main" id="{43D67878-A959-0171-DF94-8B1E2457453D}"/>
            </a:ext>
          </a:extLst>
        </xdr:cNvPr>
        <xdr:cNvSpPr txBox="1"/>
      </xdr:nvSpPr>
      <xdr:spPr>
        <a:xfrm>
          <a:off x="1574800" y="143933"/>
          <a:ext cx="3733800" cy="2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a:t>HOSPITAL </a:t>
          </a:r>
          <a:r>
            <a:rPr lang="en-IN" sz="1600" baseline="0">
              <a:solidFill>
                <a:schemeClr val="dk1"/>
              </a:solidFill>
              <a:effectLst/>
              <a:latin typeface="+mn-lt"/>
              <a:ea typeface="+mn-ea"/>
              <a:cs typeface="+mn-cs"/>
            </a:rPr>
            <a:t>EMERGENCY </a:t>
          </a:r>
          <a:r>
            <a:rPr lang="en-IN" sz="1600"/>
            <a:t>ROOM</a:t>
          </a:r>
          <a:r>
            <a:rPr lang="en-IN" sz="1600" baseline="0"/>
            <a:t>  DASHBOARD</a:t>
          </a:r>
          <a:endParaRPr lang="en-IN" sz="1600"/>
        </a:p>
      </xdr:txBody>
    </xdr:sp>
    <xdr:clientData/>
  </xdr:twoCellAnchor>
  <xdr:twoCellAnchor editAs="oneCell">
    <xdr:from>
      <xdr:col>0</xdr:col>
      <xdr:colOff>270932</xdr:colOff>
      <xdr:row>0</xdr:row>
      <xdr:rowOff>138501</xdr:rowOff>
    </xdr:from>
    <xdr:to>
      <xdr:col>2</xdr:col>
      <xdr:colOff>33867</xdr:colOff>
      <xdr:row>4</xdr:row>
      <xdr:rowOff>143934</xdr:rowOff>
    </xdr:to>
    <xdr:pic>
      <xdr:nvPicPr>
        <xdr:cNvPr id="19" name="Picture 18">
          <a:extLst>
            <a:ext uri="{FF2B5EF4-FFF2-40B4-BE49-F238E27FC236}">
              <a16:creationId xmlns:a16="http://schemas.microsoft.com/office/drawing/2014/main" id="{1643D92A-234B-C8FD-1612-2A7BF530AA8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158" t="11427" r="21052" b="11429"/>
        <a:stretch/>
      </xdr:blipFill>
      <xdr:spPr>
        <a:xfrm>
          <a:off x="270932" y="138501"/>
          <a:ext cx="982135" cy="750500"/>
        </a:xfrm>
        <a:prstGeom prst="rect">
          <a:avLst/>
        </a:prstGeom>
      </xdr:spPr>
    </xdr:pic>
    <xdr:clientData/>
  </xdr:twoCellAnchor>
  <xdr:twoCellAnchor editAs="absolute">
    <xdr:from>
      <xdr:col>3</xdr:col>
      <xdr:colOff>592667</xdr:colOff>
      <xdr:row>2</xdr:row>
      <xdr:rowOff>93134</xdr:rowOff>
    </xdr:from>
    <xdr:to>
      <xdr:col>7</xdr:col>
      <xdr:colOff>127000</xdr:colOff>
      <xdr:row>4</xdr:row>
      <xdr:rowOff>8467</xdr:rowOff>
    </xdr:to>
    <xdr:sp macro="" textlink="">
      <xdr:nvSpPr>
        <xdr:cNvPr id="20" name="TextBox 19">
          <a:extLst>
            <a:ext uri="{FF2B5EF4-FFF2-40B4-BE49-F238E27FC236}">
              <a16:creationId xmlns:a16="http://schemas.microsoft.com/office/drawing/2014/main" id="{209FCEE3-4630-E739-EF74-CA5924D99174}"/>
            </a:ext>
          </a:extLst>
        </xdr:cNvPr>
        <xdr:cNvSpPr txBox="1"/>
      </xdr:nvSpPr>
      <xdr:spPr>
        <a:xfrm>
          <a:off x="2421467" y="465667"/>
          <a:ext cx="1972733" cy="2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MONTHLY</a:t>
          </a:r>
          <a:r>
            <a:rPr lang="en-IN" sz="1400" baseline="0"/>
            <a:t> REPORT</a:t>
          </a:r>
          <a:endParaRPr lang="en-IN" sz="1400"/>
        </a:p>
      </xdr:txBody>
    </xdr:sp>
    <xdr:clientData/>
  </xdr:twoCellAnchor>
  <xdr:twoCellAnchor editAs="absolute">
    <xdr:from>
      <xdr:col>2</xdr:col>
      <xdr:colOff>24850</xdr:colOff>
      <xdr:row>8</xdr:row>
      <xdr:rowOff>140989</xdr:rowOff>
    </xdr:from>
    <xdr:to>
      <xdr:col>5</xdr:col>
      <xdr:colOff>143382</xdr:colOff>
      <xdr:row>10</xdr:row>
      <xdr:rowOff>43437</xdr:rowOff>
    </xdr:to>
    <xdr:sp macro="" textlink="">
      <xdr:nvSpPr>
        <xdr:cNvPr id="28" name="TextBox 27">
          <a:extLst>
            <a:ext uri="{FF2B5EF4-FFF2-40B4-BE49-F238E27FC236}">
              <a16:creationId xmlns:a16="http://schemas.microsoft.com/office/drawing/2014/main" id="{00CBF817-D389-AF1D-0212-7BE1CDD47478}"/>
            </a:ext>
          </a:extLst>
        </xdr:cNvPr>
        <xdr:cNvSpPr txBox="1"/>
      </xdr:nvSpPr>
      <xdr:spPr>
        <a:xfrm>
          <a:off x="1250676" y="1598728"/>
          <a:ext cx="1957271" cy="26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No.</a:t>
          </a:r>
          <a:r>
            <a:rPr lang="en-IN" sz="1400" baseline="0"/>
            <a:t> of Patient</a:t>
          </a:r>
          <a:endParaRPr lang="en-IN" sz="1400"/>
        </a:p>
      </xdr:txBody>
    </xdr:sp>
    <xdr:clientData/>
  </xdr:twoCellAnchor>
  <xdr:twoCellAnchor editAs="absolute">
    <xdr:from>
      <xdr:col>5</xdr:col>
      <xdr:colOff>270933</xdr:colOff>
      <xdr:row>6</xdr:row>
      <xdr:rowOff>143933</xdr:rowOff>
    </xdr:from>
    <xdr:to>
      <xdr:col>8</xdr:col>
      <xdr:colOff>355602</xdr:colOff>
      <xdr:row>8</xdr:row>
      <xdr:rowOff>42333</xdr:rowOff>
    </xdr:to>
    <xdr:sp macro="" textlink="">
      <xdr:nvSpPr>
        <xdr:cNvPr id="29" name="TextBox 28">
          <a:extLst>
            <a:ext uri="{FF2B5EF4-FFF2-40B4-BE49-F238E27FC236}">
              <a16:creationId xmlns:a16="http://schemas.microsoft.com/office/drawing/2014/main" id="{380E8134-13DE-94B5-AADC-CEC9A538F5AD}"/>
            </a:ext>
          </a:extLst>
        </xdr:cNvPr>
        <xdr:cNvSpPr txBox="1"/>
      </xdr:nvSpPr>
      <xdr:spPr>
        <a:xfrm>
          <a:off x="3318933" y="1261533"/>
          <a:ext cx="1913469" cy="270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1400"/>
        </a:p>
      </xdr:txBody>
    </xdr:sp>
    <xdr:clientData/>
  </xdr:twoCellAnchor>
  <xdr:twoCellAnchor editAs="absolute">
    <xdr:from>
      <xdr:col>2</xdr:col>
      <xdr:colOff>37550</xdr:colOff>
      <xdr:row>7</xdr:row>
      <xdr:rowOff>51168</xdr:rowOff>
    </xdr:from>
    <xdr:to>
      <xdr:col>5</xdr:col>
      <xdr:colOff>159395</xdr:colOff>
      <xdr:row>8</xdr:row>
      <xdr:rowOff>173935</xdr:rowOff>
    </xdr:to>
    <xdr:sp macro="" textlink="'Pivot Report'!A5">
      <xdr:nvSpPr>
        <xdr:cNvPr id="30" name="TextBox 29">
          <a:extLst>
            <a:ext uri="{FF2B5EF4-FFF2-40B4-BE49-F238E27FC236}">
              <a16:creationId xmlns:a16="http://schemas.microsoft.com/office/drawing/2014/main" id="{BF796F75-6A08-C860-0A74-22365D41445C}"/>
            </a:ext>
          </a:extLst>
        </xdr:cNvPr>
        <xdr:cNvSpPr txBox="1"/>
      </xdr:nvSpPr>
      <xdr:spPr>
        <a:xfrm>
          <a:off x="1263376" y="1326690"/>
          <a:ext cx="1960584" cy="304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35FA3A0-0D00-47DA-8C83-0097A044743D}" type="TxLink">
            <a:rPr lang="en-US" sz="1800" b="0" i="0" u="none" strike="noStrike">
              <a:solidFill>
                <a:srgbClr val="000000"/>
              </a:solidFill>
              <a:latin typeface="Aptos Narrow"/>
            </a:rPr>
            <a:t>506</a:t>
          </a:fld>
          <a:endParaRPr lang="en-US" sz="1800"/>
        </a:p>
      </xdr:txBody>
    </xdr:sp>
    <xdr:clientData/>
  </xdr:twoCellAnchor>
  <xdr:twoCellAnchor editAs="absolute">
    <xdr:from>
      <xdr:col>5</xdr:col>
      <xdr:colOff>245535</xdr:colOff>
      <xdr:row>8</xdr:row>
      <xdr:rowOff>124793</xdr:rowOff>
    </xdr:from>
    <xdr:to>
      <xdr:col>8</xdr:col>
      <xdr:colOff>364067</xdr:colOff>
      <xdr:row>10</xdr:row>
      <xdr:rowOff>27241</xdr:rowOff>
    </xdr:to>
    <xdr:sp macro="" textlink="">
      <xdr:nvSpPr>
        <xdr:cNvPr id="31" name="TextBox 30">
          <a:hlinkClick xmlns:r="http://schemas.openxmlformats.org/officeDocument/2006/relationships" r:id="rId2"/>
          <a:extLst>
            <a:ext uri="{FF2B5EF4-FFF2-40B4-BE49-F238E27FC236}">
              <a16:creationId xmlns:a16="http://schemas.microsoft.com/office/drawing/2014/main" id="{8B877B9A-9E81-8B79-8E36-B5D20FB6EB3D}"/>
            </a:ext>
          </a:extLst>
        </xdr:cNvPr>
        <xdr:cNvSpPr txBox="1"/>
      </xdr:nvSpPr>
      <xdr:spPr>
        <a:xfrm>
          <a:off x="3310100" y="1582532"/>
          <a:ext cx="1957271" cy="26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Average</a:t>
          </a:r>
          <a:r>
            <a:rPr lang="en-IN" sz="1400" baseline="0"/>
            <a:t> Wait Time</a:t>
          </a:r>
          <a:endParaRPr lang="en-IN" sz="1400"/>
        </a:p>
      </xdr:txBody>
    </xdr:sp>
    <xdr:clientData/>
  </xdr:twoCellAnchor>
  <xdr:twoCellAnchor editAs="absolute">
    <xdr:from>
      <xdr:col>5</xdr:col>
      <xdr:colOff>226051</xdr:colOff>
      <xdr:row>7</xdr:row>
      <xdr:rowOff>122531</xdr:rowOff>
    </xdr:from>
    <xdr:to>
      <xdr:col>8</xdr:col>
      <xdr:colOff>344583</xdr:colOff>
      <xdr:row>8</xdr:row>
      <xdr:rowOff>132522</xdr:rowOff>
    </xdr:to>
    <xdr:sp macro="" textlink="'Pivot Report'!A9">
      <xdr:nvSpPr>
        <xdr:cNvPr id="32" name="TextBox 31">
          <a:extLst>
            <a:ext uri="{FF2B5EF4-FFF2-40B4-BE49-F238E27FC236}">
              <a16:creationId xmlns:a16="http://schemas.microsoft.com/office/drawing/2014/main" id="{DD634098-BDB6-4256-79D5-C3A418C3E726}"/>
            </a:ext>
          </a:extLst>
        </xdr:cNvPr>
        <xdr:cNvSpPr txBox="1"/>
      </xdr:nvSpPr>
      <xdr:spPr>
        <a:xfrm>
          <a:off x="3290616" y="1398053"/>
          <a:ext cx="1957271" cy="192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755920F-0896-4557-9526-DA21D9FE5365}" type="TxLink">
            <a:rPr lang="en-US" sz="1100" b="1" i="0" u="none" strike="noStrike">
              <a:solidFill>
                <a:srgbClr val="000000"/>
              </a:solidFill>
              <a:latin typeface="Aptos Narrow"/>
            </a:rPr>
            <a:t>35.58</a:t>
          </a:fld>
          <a:endParaRPr lang="en-US" sz="1800" b="1"/>
        </a:p>
      </xdr:txBody>
    </xdr:sp>
    <xdr:clientData/>
  </xdr:twoCellAnchor>
  <xdr:twoCellAnchor editAs="absolute">
    <xdr:from>
      <xdr:col>8</xdr:col>
      <xdr:colOff>491068</xdr:colOff>
      <xdr:row>8</xdr:row>
      <xdr:rowOff>92031</xdr:rowOff>
    </xdr:from>
    <xdr:to>
      <xdr:col>12</xdr:col>
      <xdr:colOff>0</xdr:colOff>
      <xdr:row>9</xdr:row>
      <xdr:rowOff>176696</xdr:rowOff>
    </xdr:to>
    <xdr:sp macro="" textlink="">
      <xdr:nvSpPr>
        <xdr:cNvPr id="33" name="TextBox 32">
          <a:extLst>
            <a:ext uri="{FF2B5EF4-FFF2-40B4-BE49-F238E27FC236}">
              <a16:creationId xmlns:a16="http://schemas.microsoft.com/office/drawing/2014/main" id="{61E2CF0B-344C-8B6D-1BA0-3EA5C7648079}"/>
            </a:ext>
          </a:extLst>
        </xdr:cNvPr>
        <xdr:cNvSpPr txBox="1"/>
      </xdr:nvSpPr>
      <xdr:spPr>
        <a:xfrm>
          <a:off x="5394372" y="1549770"/>
          <a:ext cx="1960585" cy="26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Patient</a:t>
          </a:r>
          <a:r>
            <a:rPr lang="en-IN" sz="1400" baseline="0"/>
            <a:t> Satisfaction Score</a:t>
          </a:r>
          <a:endParaRPr lang="en-IN" sz="1400"/>
        </a:p>
      </xdr:txBody>
    </xdr:sp>
    <xdr:clientData/>
  </xdr:twoCellAnchor>
  <xdr:twoCellAnchor editAs="absolute">
    <xdr:from>
      <xdr:col>8</xdr:col>
      <xdr:colOff>507081</xdr:colOff>
      <xdr:row>7</xdr:row>
      <xdr:rowOff>101601</xdr:rowOff>
    </xdr:from>
    <xdr:to>
      <xdr:col>12</xdr:col>
      <xdr:colOff>12699</xdr:colOff>
      <xdr:row>9</xdr:row>
      <xdr:rowOff>1</xdr:rowOff>
    </xdr:to>
    <xdr:sp macro="" textlink="'Pivot Report'!A13">
      <xdr:nvSpPr>
        <xdr:cNvPr id="34" name="TextBox 33">
          <a:extLst>
            <a:ext uri="{FF2B5EF4-FFF2-40B4-BE49-F238E27FC236}">
              <a16:creationId xmlns:a16="http://schemas.microsoft.com/office/drawing/2014/main" id="{4B35A003-A217-8C56-0E1B-24B81F0A8095}"/>
            </a:ext>
          </a:extLst>
        </xdr:cNvPr>
        <xdr:cNvSpPr txBox="1"/>
      </xdr:nvSpPr>
      <xdr:spPr>
        <a:xfrm>
          <a:off x="5410385" y="1377123"/>
          <a:ext cx="1957271" cy="262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9A3F2FAF-89F4-4BA5-91F3-0DF4DFE492E8}" type="TxLink">
            <a:rPr lang="en-US" sz="1100" b="1" i="0" u="none" strike="noStrike">
              <a:solidFill>
                <a:srgbClr val="000000"/>
              </a:solidFill>
              <a:latin typeface="Aptos Narrow"/>
            </a:rPr>
            <a:t>5.18</a:t>
          </a:fld>
          <a:endParaRPr lang="en-US" sz="1800" b="1"/>
        </a:p>
      </xdr:txBody>
    </xdr:sp>
    <xdr:clientData/>
  </xdr:twoCellAnchor>
  <xdr:twoCellAnchor editAs="oneCell">
    <xdr:from>
      <xdr:col>4</xdr:col>
      <xdr:colOff>265796</xdr:colOff>
      <xdr:row>5</xdr:row>
      <xdr:rowOff>129008</xdr:rowOff>
    </xdr:from>
    <xdr:to>
      <xdr:col>5</xdr:col>
      <xdr:colOff>45429</xdr:colOff>
      <xdr:row>7</xdr:row>
      <xdr:rowOff>153417</xdr:rowOff>
    </xdr:to>
    <xdr:pic>
      <xdr:nvPicPr>
        <xdr:cNvPr id="36" name="Graphic 35" descr="User with solid fill">
          <a:extLst>
            <a:ext uri="{FF2B5EF4-FFF2-40B4-BE49-F238E27FC236}">
              <a16:creationId xmlns:a16="http://schemas.microsoft.com/office/drawing/2014/main" id="{9AD8EEF6-9313-47F2-CC12-217AD713AFD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17448" y="1040095"/>
          <a:ext cx="392546" cy="388844"/>
        </a:xfrm>
        <a:prstGeom prst="rect">
          <a:avLst/>
        </a:prstGeom>
      </xdr:spPr>
    </xdr:pic>
    <xdr:clientData/>
  </xdr:twoCellAnchor>
  <xdr:twoCellAnchor editAs="oneCell">
    <xdr:from>
      <xdr:col>7</xdr:col>
      <xdr:colOff>518040</xdr:colOff>
      <xdr:row>5</xdr:row>
      <xdr:rowOff>143815</xdr:rowOff>
    </xdr:from>
    <xdr:to>
      <xdr:col>8</xdr:col>
      <xdr:colOff>267046</xdr:colOff>
      <xdr:row>7</xdr:row>
      <xdr:rowOff>128422</xdr:rowOff>
    </xdr:to>
    <xdr:pic>
      <xdr:nvPicPr>
        <xdr:cNvPr id="38" name="Graphic 37" descr="Hourglass Full with solid fill">
          <a:extLst>
            <a:ext uri="{FF2B5EF4-FFF2-40B4-BE49-F238E27FC236}">
              <a16:creationId xmlns:a16="http://schemas.microsoft.com/office/drawing/2014/main" id="{F4FCD823-B3B7-3232-7C79-0B79F8CE400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808431" y="1054902"/>
          <a:ext cx="361919" cy="349042"/>
        </a:xfrm>
        <a:prstGeom prst="rect">
          <a:avLst/>
        </a:prstGeom>
      </xdr:spPr>
    </xdr:pic>
    <xdr:clientData/>
  </xdr:twoCellAnchor>
  <xdr:twoCellAnchor editAs="oneCell">
    <xdr:from>
      <xdr:col>11</xdr:col>
      <xdr:colOff>151170</xdr:colOff>
      <xdr:row>5</xdr:row>
      <xdr:rowOff>97878</xdr:rowOff>
    </xdr:from>
    <xdr:to>
      <xdr:col>11</xdr:col>
      <xdr:colOff>516867</xdr:colOff>
      <xdr:row>7</xdr:row>
      <xdr:rowOff>94121</xdr:rowOff>
    </xdr:to>
    <xdr:pic>
      <xdr:nvPicPr>
        <xdr:cNvPr id="40" name="Graphic 39" descr="Rating with solid fill">
          <a:extLst>
            <a:ext uri="{FF2B5EF4-FFF2-40B4-BE49-F238E27FC236}">
              <a16:creationId xmlns:a16="http://schemas.microsoft.com/office/drawing/2014/main" id="{796260A3-D113-A472-DA67-F93A620BEAE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93213" y="1008965"/>
          <a:ext cx="365697" cy="360678"/>
        </a:xfrm>
        <a:prstGeom prst="rect">
          <a:avLst/>
        </a:prstGeom>
      </xdr:spPr>
    </xdr:pic>
    <xdr:clientData/>
  </xdr:twoCellAnchor>
  <xdr:twoCellAnchor editAs="oneCell">
    <xdr:from>
      <xdr:col>0</xdr:col>
      <xdr:colOff>184729</xdr:colOff>
      <xdr:row>6</xdr:row>
      <xdr:rowOff>41414</xdr:rowOff>
    </xdr:from>
    <xdr:to>
      <xdr:col>1</xdr:col>
      <xdr:colOff>446424</xdr:colOff>
      <xdr:row>28</xdr:row>
      <xdr:rowOff>66261</xdr:rowOff>
    </xdr:to>
    <mc:AlternateContent xmlns:mc="http://schemas.openxmlformats.org/markup-compatibility/2006">
      <mc:Choice xmlns:a14="http://schemas.microsoft.com/office/drawing/2010/main" Requires="a14">
        <xdr:graphicFrame macro="">
          <xdr:nvGraphicFramePr>
            <xdr:cNvPr id="41" name="Date (Month)">
              <a:extLst>
                <a:ext uri="{FF2B5EF4-FFF2-40B4-BE49-F238E27FC236}">
                  <a16:creationId xmlns:a16="http://schemas.microsoft.com/office/drawing/2014/main" id="{E8A2BC6B-16A8-43C8-83FF-0A54CD28622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84729" y="1122962"/>
              <a:ext cx="868018" cy="3990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253999</xdr:colOff>
      <xdr:row>8</xdr:row>
      <xdr:rowOff>70861</xdr:rowOff>
    </xdr:from>
    <xdr:to>
      <xdr:col>5</xdr:col>
      <xdr:colOff>232831</xdr:colOff>
      <xdr:row>12</xdr:row>
      <xdr:rowOff>156307</xdr:rowOff>
    </xdr:to>
    <xdr:graphicFrame macro="">
      <xdr:nvGraphicFramePr>
        <xdr:cNvPr id="42" name="Chart 41">
          <a:hlinkClick xmlns:r="http://schemas.openxmlformats.org/officeDocument/2006/relationships" r:id="rId9"/>
          <a:extLst>
            <a:ext uri="{FF2B5EF4-FFF2-40B4-BE49-F238E27FC236}">
              <a16:creationId xmlns:a16="http://schemas.microsoft.com/office/drawing/2014/main" id="{4E39BBE5-A9E2-47E2-925D-0247731BA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185615</xdr:colOff>
      <xdr:row>9</xdr:row>
      <xdr:rowOff>156308</xdr:rowOff>
    </xdr:from>
    <xdr:to>
      <xdr:col>8</xdr:col>
      <xdr:colOff>332154</xdr:colOff>
      <xdr:row>11</xdr:row>
      <xdr:rowOff>117231</xdr:rowOff>
    </xdr:to>
    <xdr:graphicFrame macro="">
      <xdr:nvGraphicFramePr>
        <xdr:cNvPr id="43" name="Chart 42">
          <a:extLst>
            <a:ext uri="{FF2B5EF4-FFF2-40B4-BE49-F238E27FC236}">
              <a16:creationId xmlns:a16="http://schemas.microsoft.com/office/drawing/2014/main" id="{F58D854E-8810-4985-BB2F-A515AFCC0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463827</xdr:colOff>
      <xdr:row>9</xdr:row>
      <xdr:rowOff>121477</xdr:rowOff>
    </xdr:from>
    <xdr:to>
      <xdr:col>13</xdr:col>
      <xdr:colOff>397565</xdr:colOff>
      <xdr:row>14</xdr:row>
      <xdr:rowOff>35442</xdr:rowOff>
    </xdr:to>
    <xdr:graphicFrame macro="">
      <xdr:nvGraphicFramePr>
        <xdr:cNvPr id="45" name="Chart 44">
          <a:hlinkClick xmlns:r="http://schemas.openxmlformats.org/officeDocument/2006/relationships" r:id="rId12"/>
          <a:extLst>
            <a:ext uri="{FF2B5EF4-FFF2-40B4-BE49-F238E27FC236}">
              <a16:creationId xmlns:a16="http://schemas.microsoft.com/office/drawing/2014/main" id="{0C3A125B-9C9B-4248-BA12-4CB84772D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xdr:colOff>
          <xdr:row>12</xdr:row>
          <xdr:rowOff>35442</xdr:rowOff>
        </xdr:from>
        <xdr:to>
          <xdr:col>12</xdr:col>
          <xdr:colOff>82410</xdr:colOff>
          <xdr:row>16</xdr:row>
          <xdr:rowOff>97465</xdr:rowOff>
        </xdr:to>
        <xdr:pic>
          <xdr:nvPicPr>
            <xdr:cNvPr id="53" name="Picture 52">
              <a:extLst>
                <a:ext uri="{FF2B5EF4-FFF2-40B4-BE49-F238E27FC236}">
                  <a16:creationId xmlns:a16="http://schemas.microsoft.com/office/drawing/2014/main" id="{FA8D1699-7B0E-FC05-9FF3-B33A5E320A8F}"/>
                </a:ext>
              </a:extLst>
            </xdr:cNvPr>
            <xdr:cNvPicPr>
              <a:picLocks noChangeAspect="1" noChangeArrowheads="1"/>
              <a:extLst>
                <a:ext uri="{84589F7E-364E-4C9E-8A38-B11213B215E9}">
                  <a14:cameraTool cellRange="'Pivot Report'!$A$47:$D$49" spid="_x0000_s2083"/>
                </a:ext>
              </a:extLst>
            </xdr:cNvPicPr>
          </xdr:nvPicPr>
          <xdr:blipFill>
            <a:blip xmlns:r="http://schemas.openxmlformats.org/officeDocument/2006/relationships" r:embed="rId14"/>
            <a:srcRect/>
            <a:stretch>
              <a:fillRect/>
            </a:stretch>
          </xdr:blipFill>
          <xdr:spPr bwMode="auto">
            <a:xfrm>
              <a:off x="1222745" y="2268279"/>
              <a:ext cx="6196130" cy="80630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327836</xdr:colOff>
      <xdr:row>17</xdr:row>
      <xdr:rowOff>62024</xdr:rowOff>
    </xdr:from>
    <xdr:to>
      <xdr:col>11</xdr:col>
      <xdr:colOff>567070</xdr:colOff>
      <xdr:row>27</xdr:row>
      <xdr:rowOff>62023</xdr:rowOff>
    </xdr:to>
    <xdr:graphicFrame macro="">
      <xdr:nvGraphicFramePr>
        <xdr:cNvPr id="54" name="Chart 53">
          <a:extLst>
            <a:ext uri="{FF2B5EF4-FFF2-40B4-BE49-F238E27FC236}">
              <a16:creationId xmlns:a16="http://schemas.microsoft.com/office/drawing/2014/main" id="{E52CEE92-2649-4A00-9E7C-EE26259F2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505047</xdr:colOff>
      <xdr:row>32</xdr:row>
      <xdr:rowOff>44302</xdr:rowOff>
    </xdr:from>
    <xdr:to>
      <xdr:col>19</xdr:col>
      <xdr:colOff>460745</xdr:colOff>
      <xdr:row>32</xdr:row>
      <xdr:rowOff>168348</xdr:rowOff>
    </xdr:to>
    <xdr:graphicFrame macro="">
      <xdr:nvGraphicFramePr>
        <xdr:cNvPr id="55" name="Chart 54">
          <a:extLst>
            <a:ext uri="{FF2B5EF4-FFF2-40B4-BE49-F238E27FC236}">
              <a16:creationId xmlns:a16="http://schemas.microsoft.com/office/drawing/2014/main" id="{DB2A17A4-E83C-467E-9767-FF490C16C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4</xdr:col>
      <xdr:colOff>378701</xdr:colOff>
      <xdr:row>27</xdr:row>
      <xdr:rowOff>79744</xdr:rowOff>
    </xdr:from>
    <xdr:to>
      <xdr:col>8</xdr:col>
      <xdr:colOff>443022</xdr:colOff>
      <xdr:row>33</xdr:row>
      <xdr:rowOff>115186</xdr:rowOff>
    </xdr:to>
    <xdr:sp macro="" textlink="">
      <xdr:nvSpPr>
        <xdr:cNvPr id="56" name="TextBox 55">
          <a:extLst>
            <a:ext uri="{FF2B5EF4-FFF2-40B4-BE49-F238E27FC236}">
              <a16:creationId xmlns:a16="http://schemas.microsoft.com/office/drawing/2014/main" id="{D6744E73-5CCB-4A58-895C-F454C15ECBDC}"/>
            </a:ext>
          </a:extLst>
        </xdr:cNvPr>
        <xdr:cNvSpPr txBox="1"/>
      </xdr:nvSpPr>
      <xdr:spPr>
        <a:xfrm>
          <a:off x="2824189" y="5103628"/>
          <a:ext cx="2509810" cy="1151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No.</a:t>
          </a:r>
          <a:r>
            <a:rPr lang="en-IN" sz="1400" baseline="0"/>
            <a:t> of Patient by Age Group</a:t>
          </a:r>
          <a:endParaRPr lang="en-IN" sz="1400"/>
        </a:p>
      </xdr:txBody>
    </xdr:sp>
    <xdr:clientData/>
  </xdr:twoCellAnchor>
  <xdr:twoCellAnchor>
    <xdr:from>
      <xdr:col>11</xdr:col>
      <xdr:colOff>421139</xdr:colOff>
      <xdr:row>0</xdr:row>
      <xdr:rowOff>0</xdr:rowOff>
    </xdr:from>
    <xdr:to>
      <xdr:col>15</xdr:col>
      <xdr:colOff>335936</xdr:colOff>
      <xdr:row>12</xdr:row>
      <xdr:rowOff>6472</xdr:rowOff>
    </xdr:to>
    <xdr:graphicFrame macro="">
      <xdr:nvGraphicFramePr>
        <xdr:cNvPr id="57" name="Chart 56">
          <a:extLst>
            <a:ext uri="{FF2B5EF4-FFF2-40B4-BE49-F238E27FC236}">
              <a16:creationId xmlns:a16="http://schemas.microsoft.com/office/drawing/2014/main" id="{7CDCE5F7-DF19-409F-8CD5-E784DCF09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11</xdr:col>
      <xdr:colOff>485216</xdr:colOff>
      <xdr:row>9</xdr:row>
      <xdr:rowOff>63357</xdr:rowOff>
    </xdr:from>
    <xdr:to>
      <xdr:col>15</xdr:col>
      <xdr:colOff>549537</xdr:colOff>
      <xdr:row>15</xdr:row>
      <xdr:rowOff>98799</xdr:rowOff>
    </xdr:to>
    <xdr:sp macro="" textlink="">
      <xdr:nvSpPr>
        <xdr:cNvPr id="58" name="TextBox 57">
          <a:extLst>
            <a:ext uri="{FF2B5EF4-FFF2-40B4-BE49-F238E27FC236}">
              <a16:creationId xmlns:a16="http://schemas.microsoft.com/office/drawing/2014/main" id="{99C5B23F-992E-9ECF-4CB8-908B4A41CAA8}"/>
            </a:ext>
          </a:extLst>
        </xdr:cNvPr>
        <xdr:cNvSpPr txBox="1"/>
      </xdr:nvSpPr>
      <xdr:spPr>
        <a:xfrm>
          <a:off x="7154764" y="1685680"/>
          <a:ext cx="2489612" cy="1116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Patient</a:t>
          </a:r>
          <a:r>
            <a:rPr lang="en-IN" sz="1400" baseline="0"/>
            <a:t> Attend Status</a:t>
          </a:r>
          <a:endParaRPr lang="en-IN" sz="1400"/>
        </a:p>
      </xdr:txBody>
    </xdr:sp>
    <xdr:clientData/>
  </xdr:twoCellAnchor>
  <xdr:twoCellAnchor>
    <xdr:from>
      <xdr:col>15</xdr:col>
      <xdr:colOff>331009</xdr:colOff>
      <xdr:row>0</xdr:row>
      <xdr:rowOff>42689</xdr:rowOff>
    </xdr:from>
    <xdr:to>
      <xdr:col>18</xdr:col>
      <xdr:colOff>491613</xdr:colOff>
      <xdr:row>11</xdr:row>
      <xdr:rowOff>81935</xdr:rowOff>
    </xdr:to>
    <xdr:graphicFrame macro="">
      <xdr:nvGraphicFramePr>
        <xdr:cNvPr id="59" name="Chart 58">
          <a:extLst>
            <a:ext uri="{FF2B5EF4-FFF2-40B4-BE49-F238E27FC236}">
              <a16:creationId xmlns:a16="http://schemas.microsoft.com/office/drawing/2014/main" id="{BECE2A24-C6A3-4913-BD7D-DBB00968E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14</xdr:col>
      <xdr:colOff>583539</xdr:colOff>
      <xdr:row>9</xdr:row>
      <xdr:rowOff>63357</xdr:rowOff>
    </xdr:from>
    <xdr:to>
      <xdr:col>19</xdr:col>
      <xdr:colOff>41538</xdr:colOff>
      <xdr:row>15</xdr:row>
      <xdr:rowOff>98799</xdr:rowOff>
    </xdr:to>
    <xdr:sp macro="" textlink="">
      <xdr:nvSpPr>
        <xdr:cNvPr id="60" name="TextBox 59">
          <a:extLst>
            <a:ext uri="{FF2B5EF4-FFF2-40B4-BE49-F238E27FC236}">
              <a16:creationId xmlns:a16="http://schemas.microsoft.com/office/drawing/2014/main" id="{CD75C02C-284B-F0E5-1498-2C0A2561DB22}"/>
            </a:ext>
          </a:extLst>
        </xdr:cNvPr>
        <xdr:cNvSpPr txBox="1"/>
      </xdr:nvSpPr>
      <xdr:spPr>
        <a:xfrm>
          <a:off x="9072055" y="1685680"/>
          <a:ext cx="2489612" cy="1116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Gender</a:t>
          </a:r>
          <a:r>
            <a:rPr lang="en-IN" sz="1400" baseline="0"/>
            <a:t> Wise Analysis</a:t>
          </a:r>
          <a:endParaRPr lang="en-IN" sz="1400"/>
        </a:p>
      </xdr:txBody>
    </xdr:sp>
    <xdr:clientData/>
  </xdr:twoCellAnchor>
  <xdr:twoCellAnchor>
    <xdr:from>
      <xdr:col>12</xdr:col>
      <xdr:colOff>211668</xdr:colOff>
      <xdr:row>11</xdr:row>
      <xdr:rowOff>139289</xdr:rowOff>
    </xdr:from>
    <xdr:to>
      <xdr:col>18</xdr:col>
      <xdr:colOff>294968</xdr:colOff>
      <xdr:row>29</xdr:row>
      <xdr:rowOff>40967</xdr:rowOff>
    </xdr:to>
    <xdr:graphicFrame macro="">
      <xdr:nvGraphicFramePr>
        <xdr:cNvPr id="61" name="Chart 60">
          <a:extLst>
            <a:ext uri="{FF2B5EF4-FFF2-40B4-BE49-F238E27FC236}">
              <a16:creationId xmlns:a16="http://schemas.microsoft.com/office/drawing/2014/main" id="{C0FBB2DA-AB1C-4A94-9D0A-7ED9C016F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13</xdr:col>
      <xdr:colOff>345926</xdr:colOff>
      <xdr:row>28</xdr:row>
      <xdr:rowOff>8194</xdr:rowOff>
    </xdr:from>
    <xdr:to>
      <xdr:col>18</xdr:col>
      <xdr:colOff>114710</xdr:colOff>
      <xdr:row>34</xdr:row>
      <xdr:rowOff>82412</xdr:rowOff>
    </xdr:to>
    <xdr:sp macro="" textlink="">
      <xdr:nvSpPr>
        <xdr:cNvPr id="62" name="TextBox 61">
          <a:extLst>
            <a:ext uri="{FF2B5EF4-FFF2-40B4-BE49-F238E27FC236}">
              <a16:creationId xmlns:a16="http://schemas.microsoft.com/office/drawing/2014/main" id="{0FB41364-E8B7-60FC-E354-273318D49445}"/>
            </a:ext>
          </a:extLst>
        </xdr:cNvPr>
        <xdr:cNvSpPr txBox="1"/>
      </xdr:nvSpPr>
      <xdr:spPr>
        <a:xfrm>
          <a:off x="8228120" y="5055420"/>
          <a:ext cx="2800396" cy="1155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No.</a:t>
          </a:r>
          <a:r>
            <a:rPr lang="en-IN" sz="1400" baseline="0"/>
            <a:t> of Patient by Department Referal</a:t>
          </a:r>
          <a:endParaRPr lang="en-IN" sz="1400"/>
        </a:p>
      </xdr:txBody>
    </xdr:sp>
    <xdr:clientData/>
  </xdr:twoCellAnchor>
  <xdr:twoCellAnchor editAs="oneCell">
    <xdr:from>
      <xdr:col>9</xdr:col>
      <xdr:colOff>231879</xdr:colOff>
      <xdr:row>1</xdr:row>
      <xdr:rowOff>52711</xdr:rowOff>
    </xdr:from>
    <xdr:to>
      <xdr:col>11</xdr:col>
      <xdr:colOff>565356</xdr:colOff>
      <xdr:row>4</xdr:row>
      <xdr:rowOff>81936</xdr:rowOff>
    </xdr:to>
    <mc:AlternateContent xmlns:mc="http://schemas.openxmlformats.org/markup-compatibility/2006">
      <mc:Choice xmlns:a14="http://schemas.microsoft.com/office/drawing/2010/main" Requires="a14">
        <xdr:graphicFrame macro="">
          <xdr:nvGraphicFramePr>
            <xdr:cNvPr id="63" name="Date (Year)">
              <a:extLst>
                <a:ext uri="{FF2B5EF4-FFF2-40B4-BE49-F238E27FC236}">
                  <a16:creationId xmlns:a16="http://schemas.microsoft.com/office/drawing/2014/main" id="{C5D7DD85-70E1-4A48-9FF4-A1672118EEE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688782" y="232969"/>
              <a:ext cx="1546122" cy="569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388620</xdr:colOff>
      <xdr:row>3</xdr:row>
      <xdr:rowOff>7620</xdr:rowOff>
    </xdr:from>
    <xdr:to>
      <xdr:col>17</xdr:col>
      <xdr:colOff>502920</xdr:colOff>
      <xdr:row>24</xdr:row>
      <xdr:rowOff>7620</xdr:rowOff>
    </xdr:to>
    <xdr:graphicFrame macro="">
      <xdr:nvGraphicFramePr>
        <xdr:cNvPr id="2" name="Chart 1">
          <a:extLst>
            <a:ext uri="{FF2B5EF4-FFF2-40B4-BE49-F238E27FC236}">
              <a16:creationId xmlns:a16="http://schemas.microsoft.com/office/drawing/2014/main" id="{EFD6F4BB-FCC6-4886-B5CE-773242662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24</xdr:row>
      <xdr:rowOff>152400</xdr:rowOff>
    </xdr:from>
    <xdr:to>
      <xdr:col>16</xdr:col>
      <xdr:colOff>228600</xdr:colOff>
      <xdr:row>25</xdr:row>
      <xdr:rowOff>152400</xdr:rowOff>
    </xdr:to>
    <xdr:sp macro="" textlink="">
      <xdr:nvSpPr>
        <xdr:cNvPr id="3" name="TextBox 2">
          <a:extLst>
            <a:ext uri="{FF2B5EF4-FFF2-40B4-BE49-F238E27FC236}">
              <a16:creationId xmlns:a16="http://schemas.microsoft.com/office/drawing/2014/main" id="{9DBB58CD-B99E-C715-7AC0-C306F1ABA801}"/>
            </a:ext>
          </a:extLst>
        </xdr:cNvPr>
        <xdr:cNvSpPr txBox="1"/>
      </xdr:nvSpPr>
      <xdr:spPr>
        <a:xfrm>
          <a:off x="2247900" y="4541520"/>
          <a:ext cx="77343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t>Showing a daily trend with</a:t>
          </a:r>
          <a:r>
            <a:rPr lang="en-IN" sz="1400" b="1" baseline="0"/>
            <a:t> an area sparkling to spot pattern like busy days or seasonal trends.</a:t>
          </a:r>
          <a:endParaRPr lang="en-IN" sz="1400" b="1"/>
        </a:p>
      </xdr:txBody>
    </xdr:sp>
    <xdr:clientData/>
  </xdr:twoCellAnchor>
  <xdr:twoCellAnchor editAs="oneCell">
    <xdr:from>
      <xdr:col>0</xdr:col>
      <xdr:colOff>76200</xdr:colOff>
      <xdr:row>0</xdr:row>
      <xdr:rowOff>60960</xdr:rowOff>
    </xdr:from>
    <xdr:to>
      <xdr:col>0</xdr:col>
      <xdr:colOff>457200</xdr:colOff>
      <xdr:row>2</xdr:row>
      <xdr:rowOff>76200</xdr:rowOff>
    </xdr:to>
    <xdr:pic>
      <xdr:nvPicPr>
        <xdr:cNvPr id="5" name="Graphic 4" descr="House with solid fill">
          <a:hlinkClick xmlns:r="http://schemas.openxmlformats.org/officeDocument/2006/relationships" r:id="rId2"/>
          <a:extLst>
            <a:ext uri="{FF2B5EF4-FFF2-40B4-BE49-F238E27FC236}">
              <a16:creationId xmlns:a16="http://schemas.microsoft.com/office/drawing/2014/main" id="{06888933-BD77-031A-CE69-E1AD9DD227B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200" y="60960"/>
          <a:ext cx="381000" cy="381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160020</xdr:colOff>
      <xdr:row>3</xdr:row>
      <xdr:rowOff>167640</xdr:rowOff>
    </xdr:from>
    <xdr:to>
      <xdr:col>16</xdr:col>
      <xdr:colOff>449580</xdr:colOff>
      <xdr:row>22</xdr:row>
      <xdr:rowOff>22860</xdr:rowOff>
    </xdr:to>
    <xdr:graphicFrame macro="">
      <xdr:nvGraphicFramePr>
        <xdr:cNvPr id="2" name="Chart 1">
          <a:extLst>
            <a:ext uri="{FF2B5EF4-FFF2-40B4-BE49-F238E27FC236}">
              <a16:creationId xmlns:a16="http://schemas.microsoft.com/office/drawing/2014/main" id="{6B2F22BF-3196-4A3B-A065-37C8A9B59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518160</xdr:colOff>
      <xdr:row>23</xdr:row>
      <xdr:rowOff>7620</xdr:rowOff>
    </xdr:from>
    <xdr:to>
      <xdr:col>14</xdr:col>
      <xdr:colOff>259080</xdr:colOff>
      <xdr:row>24</xdr:row>
      <xdr:rowOff>76200</xdr:rowOff>
    </xdr:to>
    <xdr:sp macro="" textlink="">
      <xdr:nvSpPr>
        <xdr:cNvPr id="3" name="TextBox 2">
          <a:extLst>
            <a:ext uri="{FF2B5EF4-FFF2-40B4-BE49-F238E27FC236}">
              <a16:creationId xmlns:a16="http://schemas.microsoft.com/office/drawing/2014/main" id="{2557F453-8FF3-26D5-3A51-ABD78B89CADE}"/>
            </a:ext>
          </a:extLst>
        </xdr:cNvPr>
        <xdr:cNvSpPr txBox="1"/>
      </xdr:nvSpPr>
      <xdr:spPr>
        <a:xfrm>
          <a:off x="2346960" y="4213860"/>
          <a:ext cx="64465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solidFill>
                <a:schemeClr val="tx1"/>
              </a:solidFill>
            </a:rPr>
            <a:t>An area sparkline to track daily changes</a:t>
          </a:r>
          <a:r>
            <a:rPr lang="en-IN" sz="1100" b="1" baseline="0">
              <a:solidFill>
                <a:schemeClr val="tx1"/>
              </a:solidFill>
            </a:rPr>
            <a:t> and highlight days with longer wait times that might need improvement</a:t>
          </a:r>
          <a:endParaRPr lang="en-IN" sz="1100" b="1">
            <a:solidFill>
              <a:schemeClr val="tx1"/>
            </a:solidFill>
          </a:endParaRPr>
        </a:p>
      </xdr:txBody>
    </xdr:sp>
    <xdr:clientData/>
  </xdr:twoCellAnchor>
  <xdr:twoCellAnchor editAs="oneCell">
    <xdr:from>
      <xdr:col>0</xdr:col>
      <xdr:colOff>129540</xdr:colOff>
      <xdr:row>0</xdr:row>
      <xdr:rowOff>121920</xdr:rowOff>
    </xdr:from>
    <xdr:to>
      <xdr:col>0</xdr:col>
      <xdr:colOff>525780</xdr:colOff>
      <xdr:row>2</xdr:row>
      <xdr:rowOff>152400</xdr:rowOff>
    </xdr:to>
    <xdr:pic>
      <xdr:nvPicPr>
        <xdr:cNvPr id="5" name="Graphic 4" descr="House with solid fill">
          <a:hlinkClick xmlns:r="http://schemas.openxmlformats.org/officeDocument/2006/relationships" r:id="rId2"/>
          <a:extLst>
            <a:ext uri="{FF2B5EF4-FFF2-40B4-BE49-F238E27FC236}">
              <a16:creationId xmlns:a16="http://schemas.microsoft.com/office/drawing/2014/main" id="{1D4B64F1-766A-E641-0554-9E5556E31CB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9540" y="121920"/>
          <a:ext cx="396240" cy="396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579120</xdr:colOff>
      <xdr:row>3</xdr:row>
      <xdr:rowOff>91440</xdr:rowOff>
    </xdr:from>
    <xdr:to>
      <xdr:col>16</xdr:col>
      <xdr:colOff>441960</xdr:colOff>
      <xdr:row>22</xdr:row>
      <xdr:rowOff>167640</xdr:rowOff>
    </xdr:to>
    <xdr:graphicFrame macro="">
      <xdr:nvGraphicFramePr>
        <xdr:cNvPr id="2" name="Chart 1">
          <a:extLst>
            <a:ext uri="{FF2B5EF4-FFF2-40B4-BE49-F238E27FC236}">
              <a16:creationId xmlns:a16="http://schemas.microsoft.com/office/drawing/2014/main" id="{72F65C80-5F38-4B74-993D-74CB8F8CA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579120</xdr:colOff>
      <xdr:row>23</xdr:row>
      <xdr:rowOff>106680</xdr:rowOff>
    </xdr:from>
    <xdr:to>
      <xdr:col>15</xdr:col>
      <xdr:colOff>411480</xdr:colOff>
      <xdr:row>24</xdr:row>
      <xdr:rowOff>160020</xdr:rowOff>
    </xdr:to>
    <xdr:sp macro="" textlink="">
      <xdr:nvSpPr>
        <xdr:cNvPr id="3" name="TextBox 2">
          <a:extLst>
            <a:ext uri="{FF2B5EF4-FFF2-40B4-BE49-F238E27FC236}">
              <a16:creationId xmlns:a16="http://schemas.microsoft.com/office/drawing/2014/main" id="{C87CAFC2-F2C0-4F97-08BB-DB7E359D26AE}"/>
            </a:ext>
          </a:extLst>
        </xdr:cNvPr>
        <xdr:cNvSpPr txBox="1"/>
      </xdr:nvSpPr>
      <xdr:spPr>
        <a:xfrm>
          <a:off x="2407920" y="4312920"/>
          <a:ext cx="71475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Use an Sparkline to show trends,</a:t>
          </a:r>
          <a:r>
            <a:rPr lang="en-IN" sz="1200" b="1" baseline="0"/>
            <a:t> spot drops in satisfaction and links them busy times or challenges</a:t>
          </a:r>
          <a:endParaRPr lang="en-IN" sz="1200" b="1"/>
        </a:p>
      </xdr:txBody>
    </xdr:sp>
    <xdr:clientData/>
  </xdr:twoCellAnchor>
  <xdr:twoCellAnchor editAs="oneCell">
    <xdr:from>
      <xdr:col>0</xdr:col>
      <xdr:colOff>251460</xdr:colOff>
      <xdr:row>0</xdr:row>
      <xdr:rowOff>175260</xdr:rowOff>
    </xdr:from>
    <xdr:to>
      <xdr:col>1</xdr:col>
      <xdr:colOff>175260</xdr:colOff>
      <xdr:row>3</xdr:row>
      <xdr:rowOff>160020</xdr:rowOff>
    </xdr:to>
    <xdr:pic>
      <xdr:nvPicPr>
        <xdr:cNvPr id="5" name="Graphic 4" descr="House with solid fill">
          <a:hlinkClick xmlns:r="http://schemas.openxmlformats.org/officeDocument/2006/relationships" r:id="rId2"/>
          <a:extLst>
            <a:ext uri="{FF2B5EF4-FFF2-40B4-BE49-F238E27FC236}">
              <a16:creationId xmlns:a16="http://schemas.microsoft.com/office/drawing/2014/main" id="{67DD7FC1-AEE7-0B97-F561-232F2041418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1460" y="175260"/>
          <a:ext cx="533400" cy="533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7.880535416669" createdVersion="5" refreshedVersion="8" minRefreshableVersion="3" recordCount="0" supportSubquery="1" supportAdvancedDrill="1" xr:uid="{279C8111-1897-42B7-8DFD-DBD303D35913}">
  <cacheSource type="external" connectionId="3"/>
  <cacheFields count="4">
    <cacheField name="[Calender_table].[Date (Month)].[Date (Month)]" caption="Date (Month)" numFmtId="0" hierarchy="1" level="1">
      <sharedItems count="1">
        <s v="Nov"/>
      </sharedItems>
    </cacheField>
    <cacheField name="[Calender_table].[Date].[Date]" caption="Date" numFmtId="0" level="1">
      <sharedItems containsSemiMixedTypes="0" containsNonDate="0" containsDate="1" containsString="0" minDate="2023-11-01T00:00:00" maxDate="2024-12-01T00:00:00" count="6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sharedItems>
    </cacheField>
    <cacheField name="[Calender_table].[Date (Quarter)].[Date (Quarter)]" caption="Date (Quarter)" numFmtId="0" hierarchy="4" level="1">
      <sharedItems count="1">
        <s v="Qtr4"/>
      </sharedItems>
    </cacheField>
    <cacheField name="[Calender_table].[Date (Year)].[Date (Year)]" caption="Date (Year)" numFmtId="0" hierarchy="3" level="1">
      <sharedItems count="1">
        <s v="2023"/>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7.880535648146" createdVersion="5" refreshedVersion="8" minRefreshableVersion="3" recordCount="0" supportSubquery="1" supportAdvancedDrill="1" xr:uid="{307D4090-433F-4963-A72E-4ADC5429BCAF}">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7.880536226854" createdVersion="5" refreshedVersion="8" minRefreshableVersion="3" recordCount="0" supportSubquery="1" supportAdvancedDrill="1" xr:uid="{539A081D-409D-4351-88A5-49FDCBF07367}">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7.880536921293" createdVersion="5" refreshedVersion="8" minRefreshableVersion="3" recordCount="0" supportSubquery="1" supportAdvancedDrill="1" xr:uid="{95DAD8AF-A6D3-4595-A27A-0F7219D0F7E5}">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7.880537384262" createdVersion="5" refreshedVersion="8" minRefreshableVersion="3" recordCount="0" supportSubquery="1" supportAdvancedDrill="1" xr:uid="{611487E2-C3DF-4F91-ADED-4A90B260004A}">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7.880537847224" createdVersion="5" refreshedVersion="8" minRefreshableVersion="3" recordCount="0" supportSubquery="1" supportAdvancedDrill="1" xr:uid="{B5B4E1EF-E917-4850-B680-47CD49175C8C}">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7.880538541664" createdVersion="5" refreshedVersion="8" minRefreshableVersion="3" recordCount="0" supportSubquery="1" supportAdvancedDrill="1" xr:uid="{2D41AAF7-6E3F-42FF-ACEF-6B9E03DD57FA}">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7.88053923611" createdVersion="5" refreshedVersion="8" minRefreshableVersion="3" recordCount="0" supportSubquery="1" supportAdvancedDrill="1" xr:uid="{F69047E9-057D-431D-84DB-0685E1DD38D3}">
  <cacheSource type="external" connectionId="3"/>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7.880540046295" createdVersion="5" refreshedVersion="8" minRefreshableVersion="3" recordCount="0" supportSubquery="1" supportAdvancedDrill="1" xr:uid="{654A5BA5-4E6D-49DB-9F6F-C8B5E309C154}">
  <cacheSource type="external" connectionId="3"/>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7.880540625003" createdVersion="5" refreshedVersion="8" minRefreshableVersion="3" recordCount="0" supportSubquery="1" supportAdvancedDrill="1" xr:uid="{A90660E0-4D53-4A83-9511-BA70BAA10C78}">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7.880541435188" createdVersion="5" refreshedVersion="8" minRefreshableVersion="3" recordCount="0" supportSubquery="1" supportAdvancedDrill="1" xr:uid="{923674E9-3F5E-4B45-A38E-8DB21F3C332D}">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7.880542013889" createdVersion="5" refreshedVersion="8" minRefreshableVersion="3" recordCount="0" supportSubquery="1" supportAdvancedDrill="1" xr:uid="{91367ED8-CA6C-424B-B062-B6FC853F11C7}">
  <cacheSource type="external" connectionId="3"/>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Calculated Column 1].[Calculated Column 1]" caption="Calculated Column 1"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7.611908680556" createdVersion="3" refreshedVersion="8" minRefreshableVersion="3" recordCount="0" supportSubquery="1" supportAdvancedDrill="1" xr:uid="{D76E1DD0-1DA8-496D-A731-12993536F975}">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3925907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AB9742-71E8-4FD6-AF90-48FF9A5B68A1}" name="PivotTable12" cacheId="1821" applyNumberFormats="0" applyBorderFormats="0" applyFontFormats="0" applyPatternFormats="0" applyAlignmentFormats="0" applyWidthHeightFormats="1" dataCaption="Values" tag="6b58e5d3-e72d-4a53-9b6f-8f57b1dc3c15" updatedVersion="8" minRefreshableVersion="3" subtotalHiddenItems="1" itemPrintTitles="1" createdVersion="5" indent="0" outline="1" outlineData="1" multipleFieldFilters="0" chartFormat="57">
  <location ref="A88:A9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51">
      <pivotArea outline="0" collapsedLevelsAreSubtotals="1" fieldPosition="0"/>
    </format>
  </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577578-57AE-43D8-AAAD-695CA958247E}" name="PivotTable11" cacheId="1830" applyNumberFormats="0" applyBorderFormats="0" applyFontFormats="0" applyPatternFormats="0" applyAlignmentFormats="0" applyWidthHeightFormats="1" dataCaption="Values" tag="ac8cca03-f36e-4a15-b863-09f2e8233acd" updatedVersion="8" minRefreshableVersion="3" subtotalHiddenItems="1" itemPrintTitles="1" createdVersion="5" indent="0" outline="1" outlineData="1" multipleFieldFilters="0" chartFormat="58">
  <location ref="B76:C85"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2">
    <format dxfId="53">
      <pivotArea outline="0" collapsedLevelsAreSubtotals="1" fieldPosition="0"/>
    </format>
    <format dxfId="52">
      <pivotArea collapsedLevelsAreSubtotals="1" fieldPosition="0">
        <references count="1">
          <reference field="1" count="0"/>
        </references>
      </pivotArea>
    </format>
  </formats>
  <chartFormats count="1">
    <chartFormat chart="5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9C5BFE-6488-4B11-8ED2-E371BAABC8A3}" name="PivotTable10" cacheId="1827" applyNumberFormats="0" applyBorderFormats="0" applyFontFormats="0" applyPatternFormats="0" applyAlignmentFormats="0" applyWidthHeightFormats="1" dataCaption="Values" tag="2bb4299e-0bf2-4952-be0b-50215077178c" updatedVersion="8" minRefreshableVersion="3" subtotalHiddenItems="1" itemPrintTitles="1" createdVersion="5" indent="0" outline="1" outlineData="1" multipleFieldFilters="0" chartFormat="53">
  <location ref="A70:B7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54">
      <pivotArea outline="0" collapsedLevelsAreSubtotals="1" fieldPosition="0"/>
    </format>
  </formats>
  <chartFormats count="3">
    <chartFormat chart="52" format="4" series="1">
      <pivotArea type="data" outline="0" fieldPosition="0">
        <references count="1">
          <reference field="4294967294" count="1" selected="0">
            <x v="0"/>
          </reference>
        </references>
      </pivotArea>
    </chartFormat>
    <chartFormat chart="52" format="5">
      <pivotArea type="data" outline="0" fieldPosition="0">
        <references count="2">
          <reference field="4294967294" count="1" selected="0">
            <x v="0"/>
          </reference>
          <reference field="1" count="1" selected="0">
            <x v="0"/>
          </reference>
        </references>
      </pivotArea>
    </chartFormat>
    <chartFormat chart="5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E3B464-07A5-4840-A717-65B3CE7E0D82}" name="PivotTable9" cacheId="1854" applyNumberFormats="0" applyBorderFormats="0" applyFontFormats="0" applyPatternFormats="0" applyAlignmentFormats="0" applyWidthHeightFormats="1" dataCaption="Values" tag="9934d508-eebe-475a-9bb8-e13cc9b515cf" updatedVersion="8" minRefreshableVersion="3" subtotalHiddenItems="1" itemPrintTitles="1" createdVersion="5" indent="0" outline="1" outlineData="1" multipleFieldFilters="0" chartFormat="48">
  <location ref="A64:B6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2">
    <format dxfId="56">
      <pivotArea outline="0" collapsedLevelsAreSubtotals="1" fieldPosition="0"/>
    </format>
    <format dxfId="55">
      <pivotArea collapsedLevelsAreSubtotals="1" fieldPosition="0">
        <references count="1">
          <reference field="2" count="0"/>
        </references>
      </pivotArea>
    </format>
  </formats>
  <chartFormats count="3">
    <chartFormat chart="46" format="4" series="1">
      <pivotArea type="data" outline="0" fieldPosition="0">
        <references count="1">
          <reference field="4294967294" count="1" selected="0">
            <x v="0"/>
          </reference>
        </references>
      </pivotArea>
    </chartFormat>
    <chartFormat chart="46" format="5">
      <pivotArea type="data" outline="0" fieldPosition="0">
        <references count="2">
          <reference field="4294967294" count="1" selected="0">
            <x v="0"/>
          </reference>
          <reference field="2" count="1" selected="0">
            <x v="0"/>
          </reference>
        </references>
      </pivotArea>
    </chartFormat>
    <chartFormat chart="46"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18D256-9980-4B96-BC6E-E32583C20F25}" name="PivotTable8" cacheId="1851" applyNumberFormats="0" applyBorderFormats="0" applyFontFormats="0" applyPatternFormats="0" applyAlignmentFormats="0" applyWidthHeightFormats="1" dataCaption="Values" tag="5be76d96-3e15-49e2-8cb9-061b3ae866a6" updatedVersion="8" minRefreshableVersion="3" subtotalHiddenItems="1" itemPrintTitles="1" createdVersion="5" indent="0" outline="1" outlineData="1" multipleFieldFilters="0" chartFormat="44">
  <location ref="A52:B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58">
      <pivotArea outline="0" collapsedLevelsAreSubtotals="1" fieldPosition="0"/>
    </format>
    <format dxfId="57">
      <pivotArea collapsedLevelsAreSubtotals="1" fieldPosition="0">
        <references count="1">
          <reference field="1" count="0"/>
        </references>
      </pivotArea>
    </format>
  </formats>
  <chartFormats count="1">
    <chartFormat chart="4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D69EE0-942A-446A-B36E-87775F3C2BF6}" name="PivotTable7" cacheId="1848" applyNumberFormats="0" applyBorderFormats="0" applyFontFormats="0" applyPatternFormats="0" applyAlignmentFormats="0" applyWidthHeightFormats="1" dataCaption="Values" tag="8df6be8f-2fcc-463d-a6fe-17e2384486a8" updatedVersion="8" minRefreshableVersion="3" subtotalHiddenItems="1" itemPrintTitles="1" createdVersion="5" indent="0" outline="1" outlineData="1" multipleFieldFilters="0" chartFormat="39">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61">
      <pivotArea outline="0" collapsedLevelsAreSubtotals="1" fieldPosition="0"/>
    </format>
    <format dxfId="60">
      <pivotArea collapsedLevelsAreSubtotals="1" fieldPosition="0">
        <references count="1">
          <reference field="2" count="0"/>
        </references>
      </pivotArea>
    </format>
    <format dxfId="59">
      <pivotArea outline="0" fieldPosition="0">
        <references count="1">
          <reference field="4294967294" count="1">
            <x v="1"/>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0"/>
          </reference>
          <reference field="2" count="1" selected="0">
            <x v="0"/>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6FC702-26C8-4C00-A611-222635068EFB}" name="PivotTable6" cacheId="1845" applyNumberFormats="0" applyBorderFormats="0" applyFontFormats="0" applyPatternFormats="0" applyAlignmentFormats="0" applyWidthHeightFormats="1" dataCaption="Values" tag="37887e81-ff35-4caa-af00-aff4417bde39" updatedVersion="8" minRefreshableVersion="3" subtotalHiddenItems="1" itemPrintTitles="1" createdVersion="5" indent="0" outline="1" outlineData="1" multipleFieldFilters="0" chartFormat="20">
  <location ref="L5:M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2">
    <format dxfId="62">
      <pivotArea collapsedLevelsAreSubtotals="1" fieldPosition="0">
        <references count="1">
          <reference field="0" count="0"/>
        </references>
      </pivotArea>
    </format>
    <format dxfId="63">
      <pivotArea grandRow="1"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FEE40B-9A76-499A-9A16-D513EB192A71}" name="PivotTable5" cacheId="1842" applyNumberFormats="0" applyBorderFormats="0" applyFontFormats="0" applyPatternFormats="0" applyAlignmentFormats="0" applyWidthHeightFormats="1" dataCaption="Values" tag="db0f2db7-d40e-472b-92f4-c9c962d2f2ce" updatedVersion="8" minRefreshableVersion="3" subtotalHiddenItems="1" itemPrintTitles="1" createdVersion="5" indent="0" outline="1" outlineData="1" multipleFieldFilters="0" chartFormat="13">
  <location ref="H5:I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2">
    <format dxfId="65">
      <pivotArea collapsedLevelsAreSubtotals="1" fieldPosition="0">
        <references count="1">
          <reference field="0" count="0"/>
        </references>
      </pivotArea>
    </format>
    <format dxfId="64">
      <pivotArea grandRow="1" outline="0" collapsedLevelsAreSubtotals="1" fieldPosition="0"/>
    </format>
  </formats>
  <chartFormats count="2">
    <chartFormat chart="7"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6EF2B4-98FD-4906-89FA-88132D51D730}" name="PivotTable4" cacheId="1839" applyNumberFormats="0" applyBorderFormats="0" applyFontFormats="0" applyPatternFormats="0" applyAlignmentFormats="0" applyWidthHeightFormats="1" dataCaption="Values" tag="dd49fd86-e2ab-4696-afdd-3acad199d111" updatedVersion="8" minRefreshableVersion="3" subtotalHiddenItems="1" itemPrintTitles="1" createdVersion="5" indent="0" outline="1" outlineData="1" multipleFieldFilters="0" chartFormat="14">
  <location ref="D5:E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E664FF-5DBA-4F61-A1A7-3BDD942EB7A5}" name="PivotTable3" cacheId="1836" applyNumberFormats="0" applyBorderFormats="0" applyFontFormats="0" applyPatternFormats="0" applyAlignmentFormats="0" applyWidthHeightFormats="1" dataCaption="Values" tag="fcb0b0e2-c994-4482-8ef9-8a1ff864e19b"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9">
      <pivotArea outline="0" collapsedLevelsAreSubtotals="1" fieldPosition="0"/>
    </format>
  </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2E7EF4-2B1A-4B04-84A5-4D93D7E5FD97}" name="PivotTable2" cacheId="1833" applyNumberFormats="0" applyBorderFormats="0" applyFontFormats="0" applyPatternFormats="0" applyAlignmentFormats="0" applyWidthHeightFormats="1" dataCaption="Values" tag="21e07f45-5795-4dd4-bdb2-6e17b7ae3066"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8">
      <pivotArea outline="0" collapsedLevelsAreSubtotals="1" fieldPosition="0"/>
    </format>
  </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FADEAE4-1347-42A1-85CD-5BDA92A42D9E}" name="PivotTable1" cacheId="1824" applyNumberFormats="0" applyBorderFormats="0" applyFontFormats="0" applyPatternFormats="0" applyAlignmentFormats="0" applyWidthHeightFormats="1" dataCaption="Values" tag="a13f95e4-4e65-4719-92d5-aaea0b7c0ab9"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4272DDD-A3AF-4825-9297-590D470BB4B5}"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392590763">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C7B040D-F92D-4EAC-8C28-30283AF91F7E}"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392590763">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52F3873C-EFC5-4DD5-83B9-E93642DF7CDE}" cache="Slicer_Date__Month" caption="Date (Month)" showCaption="0" level="1" style="My Style" rowHeight="288000"/>
  <slicer name="Date (Year)" xr10:uid="{A0511550-C05B-41BC-81BC-70F6A20548ED}" cache="Slicer_Date__Year" caption="Date (Year)" columnCount="2" showCaption="0" level="1" style="My Style" rowHeight="43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1A959-6A93-4517-B008-429A64AD7E82}">
  <dimension ref="A1:M90"/>
  <sheetViews>
    <sheetView zoomScale="65" zoomScaleNormal="110" workbookViewId="0">
      <selection activeCell="M11" sqref="M11"/>
    </sheetView>
  </sheetViews>
  <sheetFormatPr defaultRowHeight="14.4" x14ac:dyDescent="0.3"/>
  <cols>
    <col min="1" max="1" width="16.77734375" customWidth="1"/>
    <col min="2" max="2" width="17.21875" customWidth="1"/>
    <col min="3" max="3" width="10" customWidth="1"/>
    <col min="4" max="5" width="23.77734375" bestFit="1" customWidth="1"/>
    <col min="8" max="8" width="12.44140625" bestFit="1" customWidth="1"/>
    <col min="9" max="9" width="23.77734375" bestFit="1" customWidth="1"/>
    <col min="12" max="12" width="12.44140625" bestFit="1" customWidth="1"/>
    <col min="13" max="13" width="24.21875" bestFit="1" customWidth="1"/>
  </cols>
  <sheetData>
    <row r="1" spans="1:13" x14ac:dyDescent="0.3">
      <c r="A1" t="s">
        <v>0</v>
      </c>
    </row>
    <row r="3" spans="1:13" x14ac:dyDescent="0.3">
      <c r="A3" t="s">
        <v>5</v>
      </c>
    </row>
    <row r="4" spans="1:13" x14ac:dyDescent="0.3">
      <c r="A4" t="s">
        <v>4</v>
      </c>
    </row>
    <row r="5" spans="1:13" x14ac:dyDescent="0.3">
      <c r="A5" s="3">
        <v>506</v>
      </c>
      <c r="D5" s="1" t="s">
        <v>1</v>
      </c>
      <c r="E5" t="s">
        <v>4</v>
      </c>
      <c r="H5" s="1" t="s">
        <v>1</v>
      </c>
      <c r="I5" t="s">
        <v>6</v>
      </c>
      <c r="L5" s="1" t="s">
        <v>1</v>
      </c>
      <c r="M5" t="s">
        <v>7</v>
      </c>
    </row>
    <row r="6" spans="1:13" x14ac:dyDescent="0.3">
      <c r="D6" s="2" t="s">
        <v>9</v>
      </c>
      <c r="E6" s="3">
        <v>26</v>
      </c>
      <c r="H6" s="2" t="s">
        <v>9</v>
      </c>
      <c r="I6" s="4">
        <v>34.884615384615387</v>
      </c>
      <c r="L6" s="2" t="s">
        <v>9</v>
      </c>
      <c r="M6" s="4">
        <v>4.8</v>
      </c>
    </row>
    <row r="7" spans="1:13" x14ac:dyDescent="0.3">
      <c r="D7" s="2" t="s">
        <v>10</v>
      </c>
      <c r="E7" s="3">
        <v>17</v>
      </c>
      <c r="H7" s="2" t="s">
        <v>10</v>
      </c>
      <c r="I7" s="4">
        <v>34.941176470588232</v>
      </c>
      <c r="L7" s="2" t="s">
        <v>10</v>
      </c>
      <c r="M7" s="4">
        <v>5.333333333333333</v>
      </c>
    </row>
    <row r="8" spans="1:13" x14ac:dyDescent="0.3">
      <c r="A8" t="s">
        <v>6</v>
      </c>
      <c r="D8" s="2" t="s">
        <v>11</v>
      </c>
      <c r="E8" s="3">
        <v>19</v>
      </c>
      <c r="H8" s="2" t="s">
        <v>11</v>
      </c>
      <c r="I8" s="4">
        <v>32.736842105263158</v>
      </c>
      <c r="L8" s="2" t="s">
        <v>11</v>
      </c>
      <c r="M8" s="4">
        <v>6.666666666666667</v>
      </c>
    </row>
    <row r="9" spans="1:13" x14ac:dyDescent="0.3">
      <c r="A9" s="4">
        <v>35.581027667984188</v>
      </c>
      <c r="D9" s="2" t="s">
        <v>12</v>
      </c>
      <c r="E9" s="3">
        <v>17</v>
      </c>
      <c r="H9" s="2" t="s">
        <v>12</v>
      </c>
      <c r="I9" s="4">
        <v>34.411764705882355</v>
      </c>
      <c r="L9" s="2" t="s">
        <v>12</v>
      </c>
      <c r="M9" s="4">
        <v>4.5555555555555554</v>
      </c>
    </row>
    <row r="10" spans="1:13" x14ac:dyDescent="0.3">
      <c r="D10" s="2" t="s">
        <v>13</v>
      </c>
      <c r="E10" s="3">
        <v>18</v>
      </c>
      <c r="H10" s="2" t="s">
        <v>13</v>
      </c>
      <c r="I10" s="4">
        <v>34.388888888888886</v>
      </c>
      <c r="L10" s="2" t="s">
        <v>13</v>
      </c>
      <c r="M10" s="4">
        <v>4.333333333333333</v>
      </c>
    </row>
    <row r="11" spans="1:13" x14ac:dyDescent="0.3">
      <c r="D11" s="2" t="s">
        <v>14</v>
      </c>
      <c r="E11" s="3">
        <v>17</v>
      </c>
      <c r="H11" s="2" t="s">
        <v>14</v>
      </c>
      <c r="I11" s="4">
        <v>33.294117647058826</v>
      </c>
      <c r="L11" s="2" t="s">
        <v>14</v>
      </c>
      <c r="M11" s="4">
        <v>7.333333333333333</v>
      </c>
    </row>
    <row r="12" spans="1:13" x14ac:dyDescent="0.3">
      <c r="A12" t="s">
        <v>7</v>
      </c>
      <c r="D12" s="2" t="s">
        <v>15</v>
      </c>
      <c r="E12" s="3">
        <v>17</v>
      </c>
      <c r="H12" s="2" t="s">
        <v>15</v>
      </c>
      <c r="I12" s="4">
        <v>35</v>
      </c>
      <c r="L12" s="2" t="s">
        <v>15</v>
      </c>
      <c r="M12" s="4">
        <v>5.25</v>
      </c>
    </row>
    <row r="13" spans="1:13" x14ac:dyDescent="0.3">
      <c r="A13" s="4">
        <v>5.1818181818181817</v>
      </c>
      <c r="D13" s="2" t="s">
        <v>16</v>
      </c>
      <c r="E13" s="3">
        <v>19</v>
      </c>
      <c r="H13" s="2" t="s">
        <v>16</v>
      </c>
      <c r="I13" s="4">
        <v>36.736842105263158</v>
      </c>
      <c r="L13" s="2" t="s">
        <v>16</v>
      </c>
      <c r="M13" s="4">
        <v>6.333333333333333</v>
      </c>
    </row>
    <row r="14" spans="1:13" x14ac:dyDescent="0.3">
      <c r="D14" s="2" t="s">
        <v>17</v>
      </c>
      <c r="E14" s="3">
        <v>19</v>
      </c>
      <c r="H14" s="2" t="s">
        <v>17</v>
      </c>
      <c r="I14" s="4">
        <v>37.368421052631582</v>
      </c>
      <c r="L14" s="2" t="s">
        <v>17</v>
      </c>
      <c r="M14" s="4">
        <v>5.7142857142857144</v>
      </c>
    </row>
    <row r="15" spans="1:13" x14ac:dyDescent="0.3">
      <c r="D15" s="2" t="s">
        <v>18</v>
      </c>
      <c r="E15" s="3">
        <v>14</v>
      </c>
      <c r="H15" s="2" t="s">
        <v>18</v>
      </c>
      <c r="I15" s="4">
        <v>31.428571428571427</v>
      </c>
      <c r="L15" s="2" t="s">
        <v>18</v>
      </c>
      <c r="M15" s="4">
        <v>5</v>
      </c>
    </row>
    <row r="16" spans="1:13" x14ac:dyDescent="0.3">
      <c r="D16" s="2" t="s">
        <v>19</v>
      </c>
      <c r="E16" s="3">
        <v>17</v>
      </c>
      <c r="H16" s="2" t="s">
        <v>19</v>
      </c>
      <c r="I16" s="4">
        <v>45.470588235294116</v>
      </c>
      <c r="L16" s="2" t="s">
        <v>19</v>
      </c>
      <c r="M16" s="4">
        <v>6.166666666666667</v>
      </c>
    </row>
    <row r="17" spans="4:13" x14ac:dyDescent="0.3">
      <c r="D17" s="2" t="s">
        <v>20</v>
      </c>
      <c r="E17" s="3">
        <v>20</v>
      </c>
      <c r="H17" s="2" t="s">
        <v>20</v>
      </c>
      <c r="I17" s="4">
        <v>32.549999999999997</v>
      </c>
      <c r="L17" s="2" t="s">
        <v>20</v>
      </c>
      <c r="M17" s="4">
        <v>3</v>
      </c>
    </row>
    <row r="18" spans="4:13" x14ac:dyDescent="0.3">
      <c r="D18" s="2" t="s">
        <v>21</v>
      </c>
      <c r="E18" s="3">
        <v>13</v>
      </c>
      <c r="H18" s="2" t="s">
        <v>21</v>
      </c>
      <c r="I18" s="4">
        <v>39.615384615384613</v>
      </c>
      <c r="L18" s="2" t="s">
        <v>21</v>
      </c>
      <c r="M18" s="4">
        <v>4.5</v>
      </c>
    </row>
    <row r="19" spans="4:13" x14ac:dyDescent="0.3">
      <c r="D19" s="2" t="s">
        <v>22</v>
      </c>
      <c r="E19" s="3">
        <v>14</v>
      </c>
      <c r="H19" s="2" t="s">
        <v>22</v>
      </c>
      <c r="I19" s="4">
        <v>36</v>
      </c>
      <c r="L19" s="2" t="s">
        <v>22</v>
      </c>
      <c r="M19" s="4">
        <v>4.666666666666667</v>
      </c>
    </row>
    <row r="20" spans="4:13" x14ac:dyDescent="0.3">
      <c r="D20" s="2" t="s">
        <v>23</v>
      </c>
      <c r="E20" s="3">
        <v>15</v>
      </c>
      <c r="H20" s="2" t="s">
        <v>23</v>
      </c>
      <c r="I20" s="4">
        <v>31.6</v>
      </c>
      <c r="L20" s="2" t="s">
        <v>23</v>
      </c>
      <c r="M20" s="4">
        <v>9</v>
      </c>
    </row>
    <row r="21" spans="4:13" x14ac:dyDescent="0.3">
      <c r="D21" s="2" t="s">
        <v>24</v>
      </c>
      <c r="E21" s="3">
        <v>13</v>
      </c>
      <c r="H21" s="2" t="s">
        <v>24</v>
      </c>
      <c r="I21" s="4">
        <v>33.846153846153847</v>
      </c>
      <c r="L21" s="2" t="s">
        <v>24</v>
      </c>
      <c r="M21" s="4">
        <v>1.5</v>
      </c>
    </row>
    <row r="22" spans="4:13" x14ac:dyDescent="0.3">
      <c r="D22" s="2" t="s">
        <v>25</v>
      </c>
      <c r="E22" s="3">
        <v>15</v>
      </c>
      <c r="H22" s="2" t="s">
        <v>25</v>
      </c>
      <c r="I22" s="4">
        <v>31.8</v>
      </c>
      <c r="L22" s="2" t="s">
        <v>25</v>
      </c>
      <c r="M22" s="4">
        <v>6.8</v>
      </c>
    </row>
    <row r="23" spans="4:13" x14ac:dyDescent="0.3">
      <c r="D23" s="2" t="s">
        <v>26</v>
      </c>
      <c r="E23" s="3">
        <v>17</v>
      </c>
      <c r="H23" s="2" t="s">
        <v>26</v>
      </c>
      <c r="I23" s="4">
        <v>36</v>
      </c>
      <c r="L23" s="2" t="s">
        <v>26</v>
      </c>
      <c r="M23" s="4">
        <v>4.625</v>
      </c>
    </row>
    <row r="24" spans="4:13" x14ac:dyDescent="0.3">
      <c r="D24" s="2" t="s">
        <v>27</v>
      </c>
      <c r="E24" s="3">
        <v>10</v>
      </c>
      <c r="H24" s="2" t="s">
        <v>27</v>
      </c>
      <c r="I24" s="4">
        <v>29.8</v>
      </c>
      <c r="L24" s="2" t="s">
        <v>27</v>
      </c>
      <c r="M24" s="4">
        <v>4.333333333333333</v>
      </c>
    </row>
    <row r="25" spans="4:13" x14ac:dyDescent="0.3">
      <c r="D25" s="2" t="s">
        <v>28</v>
      </c>
      <c r="E25" s="3">
        <v>13</v>
      </c>
      <c r="H25" s="2" t="s">
        <v>28</v>
      </c>
      <c r="I25" s="4">
        <v>41.307692307692307</v>
      </c>
      <c r="L25" s="2" t="s">
        <v>28</v>
      </c>
      <c r="M25" s="4">
        <v>1.3333333333333333</v>
      </c>
    </row>
    <row r="26" spans="4:13" x14ac:dyDescent="0.3">
      <c r="D26" s="2" t="s">
        <v>29</v>
      </c>
      <c r="E26" s="3">
        <v>17</v>
      </c>
      <c r="H26" s="2" t="s">
        <v>29</v>
      </c>
      <c r="I26" s="4">
        <v>29.764705882352942</v>
      </c>
      <c r="L26" s="2" t="s">
        <v>29</v>
      </c>
      <c r="M26" s="4">
        <v>5</v>
      </c>
    </row>
    <row r="27" spans="4:13" x14ac:dyDescent="0.3">
      <c r="D27" s="2" t="s">
        <v>30</v>
      </c>
      <c r="E27" s="3">
        <v>26</v>
      </c>
      <c r="H27" s="2" t="s">
        <v>30</v>
      </c>
      <c r="I27" s="4">
        <v>37.92307692307692</v>
      </c>
      <c r="L27" s="2" t="s">
        <v>30</v>
      </c>
      <c r="M27" s="4">
        <v>3.1666666666666665</v>
      </c>
    </row>
    <row r="28" spans="4:13" x14ac:dyDescent="0.3">
      <c r="D28" s="2" t="s">
        <v>31</v>
      </c>
      <c r="E28" s="3">
        <v>8</v>
      </c>
      <c r="H28" s="2" t="s">
        <v>31</v>
      </c>
      <c r="I28" s="4">
        <v>38.625</v>
      </c>
      <c r="L28" s="2" t="s">
        <v>31</v>
      </c>
      <c r="M28" s="4">
        <v>7.5</v>
      </c>
    </row>
    <row r="29" spans="4:13" x14ac:dyDescent="0.3">
      <c r="D29" s="2" t="s">
        <v>32</v>
      </c>
      <c r="E29" s="3">
        <v>17</v>
      </c>
      <c r="H29" s="2" t="s">
        <v>32</v>
      </c>
      <c r="I29" s="4">
        <v>41.470588235294116</v>
      </c>
      <c r="L29" s="2" t="s">
        <v>32</v>
      </c>
      <c r="M29" s="4">
        <v>4.2</v>
      </c>
    </row>
    <row r="30" spans="4:13" x14ac:dyDescent="0.3">
      <c r="D30" s="2" t="s">
        <v>33</v>
      </c>
      <c r="E30" s="3">
        <v>18</v>
      </c>
      <c r="H30" s="2" t="s">
        <v>33</v>
      </c>
      <c r="I30" s="4">
        <v>39.5</v>
      </c>
      <c r="L30" s="2" t="s">
        <v>33</v>
      </c>
      <c r="M30" s="4">
        <v>4.625</v>
      </c>
    </row>
    <row r="31" spans="4:13" x14ac:dyDescent="0.3">
      <c r="D31" s="2" t="s">
        <v>34</v>
      </c>
      <c r="E31" s="3">
        <v>19</v>
      </c>
      <c r="H31" s="2" t="s">
        <v>34</v>
      </c>
      <c r="I31" s="4">
        <v>29.736842105263158</v>
      </c>
      <c r="L31" s="2" t="s">
        <v>34</v>
      </c>
      <c r="M31" s="4">
        <v>9.6666666666666661</v>
      </c>
    </row>
    <row r="32" spans="4:13" x14ac:dyDescent="0.3">
      <c r="D32" s="2" t="s">
        <v>35</v>
      </c>
      <c r="E32" s="3">
        <v>20</v>
      </c>
      <c r="H32" s="2" t="s">
        <v>35</v>
      </c>
      <c r="I32" s="4">
        <v>37.75</v>
      </c>
      <c r="L32" s="2" t="s">
        <v>35</v>
      </c>
      <c r="M32" s="4">
        <v>6.125</v>
      </c>
    </row>
    <row r="33" spans="1:13" x14ac:dyDescent="0.3">
      <c r="D33" s="2" t="s">
        <v>36</v>
      </c>
      <c r="E33" s="3">
        <v>23</v>
      </c>
      <c r="H33" s="2" t="s">
        <v>36</v>
      </c>
      <c r="I33" s="4">
        <v>37.782608695652172</v>
      </c>
      <c r="L33" s="2" t="s">
        <v>36</v>
      </c>
      <c r="M33" s="4">
        <v>5.5555555555555554</v>
      </c>
    </row>
    <row r="34" spans="1:13" x14ac:dyDescent="0.3">
      <c r="D34" s="2" t="s">
        <v>37</v>
      </c>
      <c r="E34" s="3">
        <v>16</v>
      </c>
      <c r="H34" s="2" t="s">
        <v>37</v>
      </c>
      <c r="I34" s="4">
        <v>34.1875</v>
      </c>
      <c r="L34" s="2" t="s">
        <v>37</v>
      </c>
      <c r="M34" s="4">
        <v>6.333333333333333</v>
      </c>
    </row>
    <row r="35" spans="1:13" x14ac:dyDescent="0.3">
      <c r="D35" s="2" t="s">
        <v>38</v>
      </c>
      <c r="E35" s="3">
        <v>12</v>
      </c>
      <c r="H35" s="2" t="s">
        <v>38</v>
      </c>
      <c r="I35" s="4">
        <v>36.166666666666664</v>
      </c>
      <c r="L35" s="2" t="s">
        <v>38</v>
      </c>
      <c r="M35" s="4">
        <v>5.333333333333333</v>
      </c>
    </row>
    <row r="36" spans="1:13" x14ac:dyDescent="0.3">
      <c r="D36" s="2" t="s">
        <v>2</v>
      </c>
      <c r="E36" s="3">
        <v>506</v>
      </c>
      <c r="H36" s="2" t="s">
        <v>2</v>
      </c>
      <c r="I36" s="4">
        <v>35.581027667984188</v>
      </c>
      <c r="L36" s="2" t="s">
        <v>2</v>
      </c>
      <c r="M36" s="4">
        <v>5.1818181818181817</v>
      </c>
    </row>
    <row r="39" spans="1:13" x14ac:dyDescent="0.3">
      <c r="A39" s="1" t="s">
        <v>1</v>
      </c>
      <c r="B39" t="s">
        <v>56</v>
      </c>
      <c r="C39" t="s">
        <v>57</v>
      </c>
    </row>
    <row r="40" spans="1:13" x14ac:dyDescent="0.3">
      <c r="A40" s="2" t="s">
        <v>41</v>
      </c>
      <c r="B40" s="6">
        <v>252</v>
      </c>
      <c r="C40" s="7">
        <v>0.49802371541501977</v>
      </c>
    </row>
    <row r="41" spans="1:13" x14ac:dyDescent="0.3">
      <c r="A41" s="2" t="s">
        <v>47</v>
      </c>
      <c r="B41" s="6">
        <v>254</v>
      </c>
      <c r="C41" s="7">
        <v>0.50197628458498023</v>
      </c>
    </row>
    <row r="42" spans="1:13" x14ac:dyDescent="0.3">
      <c r="A42" s="2" t="s">
        <v>2</v>
      </c>
      <c r="B42" s="4">
        <v>506</v>
      </c>
      <c r="C42" s="7">
        <v>1</v>
      </c>
    </row>
    <row r="47" spans="1:13" x14ac:dyDescent="0.3">
      <c r="A47" s="8" t="s">
        <v>58</v>
      </c>
      <c r="B47" s="8" t="s">
        <v>59</v>
      </c>
      <c r="C47" s="8" t="s">
        <v>60</v>
      </c>
      <c r="D47" s="8"/>
    </row>
    <row r="48" spans="1:13" x14ac:dyDescent="0.3">
      <c r="A48" s="9" t="str">
        <f>A41</f>
        <v>Not Admitted</v>
      </c>
      <c r="B48" s="9">
        <f t="shared" ref="B48:C48" si="0">B41</f>
        <v>254</v>
      </c>
      <c r="C48" s="10">
        <f t="shared" si="0"/>
        <v>0.50197628458498023</v>
      </c>
      <c r="D48" s="9"/>
    </row>
    <row r="49" spans="1:4" x14ac:dyDescent="0.3">
      <c r="A49" s="9" t="str">
        <f>A40</f>
        <v>Admitted</v>
      </c>
      <c r="B49" s="9">
        <f t="shared" ref="B49:C49" si="1">B40</f>
        <v>252</v>
      </c>
      <c r="C49" s="10">
        <f t="shared" si="1"/>
        <v>0.49802371541501977</v>
      </c>
      <c r="D49" s="9"/>
    </row>
    <row r="52" spans="1:4" x14ac:dyDescent="0.3">
      <c r="A52" s="1" t="s">
        <v>1</v>
      </c>
      <c r="B52" t="s">
        <v>62</v>
      </c>
    </row>
    <row r="53" spans="1:4" x14ac:dyDescent="0.3">
      <c r="A53" s="2" t="s">
        <v>42</v>
      </c>
      <c r="B53" s="6">
        <v>54</v>
      </c>
    </row>
    <row r="54" spans="1:4" x14ac:dyDescent="0.3">
      <c r="A54" s="2" t="s">
        <v>44</v>
      </c>
      <c r="B54" s="6">
        <v>72</v>
      </c>
    </row>
    <row r="55" spans="1:4" x14ac:dyDescent="0.3">
      <c r="A55" s="2" t="s">
        <v>54</v>
      </c>
      <c r="B55" s="6">
        <v>75</v>
      </c>
    </row>
    <row r="56" spans="1:4" x14ac:dyDescent="0.3">
      <c r="A56" s="2" t="s">
        <v>61</v>
      </c>
      <c r="B56" s="6">
        <v>62</v>
      </c>
    </row>
    <row r="57" spans="1:4" x14ac:dyDescent="0.3">
      <c r="A57" s="2" t="s">
        <v>51</v>
      </c>
      <c r="B57" s="6">
        <v>63</v>
      </c>
    </row>
    <row r="58" spans="1:4" x14ac:dyDescent="0.3">
      <c r="A58" s="2" t="s">
        <v>48</v>
      </c>
      <c r="B58" s="6">
        <v>49</v>
      </c>
    </row>
    <row r="59" spans="1:4" x14ac:dyDescent="0.3">
      <c r="A59" s="2" t="s">
        <v>45</v>
      </c>
      <c r="B59" s="6">
        <v>74</v>
      </c>
    </row>
    <row r="60" spans="1:4" x14ac:dyDescent="0.3">
      <c r="A60" s="2" t="s">
        <v>53</v>
      </c>
      <c r="B60" s="6">
        <v>57</v>
      </c>
    </row>
    <row r="61" spans="1:4" x14ac:dyDescent="0.3">
      <c r="A61" s="2" t="s">
        <v>2</v>
      </c>
      <c r="B61" s="4">
        <v>506</v>
      </c>
    </row>
    <row r="64" spans="1:4" x14ac:dyDescent="0.3">
      <c r="A64" s="1" t="s">
        <v>1</v>
      </c>
      <c r="B64" t="s">
        <v>3</v>
      </c>
    </row>
    <row r="65" spans="1:3" x14ac:dyDescent="0.3">
      <c r="A65" s="2" t="s">
        <v>43</v>
      </c>
      <c r="B65" s="6">
        <v>311</v>
      </c>
    </row>
    <row r="66" spans="1:3" x14ac:dyDescent="0.3">
      <c r="A66" s="2" t="s">
        <v>52</v>
      </c>
      <c r="B66" s="6">
        <v>195</v>
      </c>
    </row>
    <row r="67" spans="1:3" x14ac:dyDescent="0.3">
      <c r="A67" s="2" t="s">
        <v>2</v>
      </c>
      <c r="B67" s="4">
        <v>506</v>
      </c>
    </row>
    <row r="70" spans="1:3" x14ac:dyDescent="0.3">
      <c r="A70" s="1" t="s">
        <v>1</v>
      </c>
      <c r="B70" t="s">
        <v>63</v>
      </c>
    </row>
    <row r="71" spans="1:3" x14ac:dyDescent="0.3">
      <c r="A71" s="2" t="s">
        <v>55</v>
      </c>
      <c r="B71" s="4">
        <v>233</v>
      </c>
    </row>
    <row r="72" spans="1:3" x14ac:dyDescent="0.3">
      <c r="A72" s="2" t="s">
        <v>39</v>
      </c>
      <c r="B72" s="4">
        <v>273</v>
      </c>
    </row>
    <row r="73" spans="1:3" x14ac:dyDescent="0.3">
      <c r="A73" s="2" t="s">
        <v>2</v>
      </c>
      <c r="B73" s="4">
        <v>506</v>
      </c>
    </row>
    <row r="76" spans="1:3" x14ac:dyDescent="0.3">
      <c r="B76" s="1" t="s">
        <v>1</v>
      </c>
      <c r="C76" t="s">
        <v>68</v>
      </c>
    </row>
    <row r="77" spans="1:3" x14ac:dyDescent="0.3">
      <c r="B77" s="2" t="s">
        <v>64</v>
      </c>
      <c r="C77" s="6">
        <v>12</v>
      </c>
    </row>
    <row r="78" spans="1:3" x14ac:dyDescent="0.3">
      <c r="B78" s="2" t="s">
        <v>65</v>
      </c>
      <c r="C78" s="6">
        <v>11</v>
      </c>
    </row>
    <row r="79" spans="1:3" x14ac:dyDescent="0.3">
      <c r="B79" s="2" t="s">
        <v>66</v>
      </c>
      <c r="C79" s="6">
        <v>83</v>
      </c>
    </row>
    <row r="80" spans="1:3" x14ac:dyDescent="0.3">
      <c r="B80" s="2" t="s">
        <v>67</v>
      </c>
      <c r="C80" s="6">
        <v>15</v>
      </c>
    </row>
    <row r="81" spans="1:3" x14ac:dyDescent="0.3">
      <c r="B81" s="2" t="s">
        <v>40</v>
      </c>
      <c r="C81" s="6">
        <v>305</v>
      </c>
    </row>
    <row r="82" spans="1:3" x14ac:dyDescent="0.3">
      <c r="B82" s="2" t="s">
        <v>46</v>
      </c>
      <c r="C82" s="6">
        <v>60</v>
      </c>
    </row>
    <row r="83" spans="1:3" x14ac:dyDescent="0.3">
      <c r="B83" s="2" t="s">
        <v>49</v>
      </c>
      <c r="C83" s="6">
        <v>18</v>
      </c>
    </row>
    <row r="84" spans="1:3" x14ac:dyDescent="0.3">
      <c r="B84" s="2" t="s">
        <v>50</v>
      </c>
      <c r="C84" s="6">
        <v>2</v>
      </c>
    </row>
    <row r="85" spans="1:3" x14ac:dyDescent="0.3">
      <c r="B85" s="2" t="s">
        <v>2</v>
      </c>
      <c r="C85" s="4">
        <v>506</v>
      </c>
    </row>
    <row r="88" spans="1:3" x14ac:dyDescent="0.3">
      <c r="A88" s="1" t="s">
        <v>1</v>
      </c>
    </row>
    <row r="89" spans="1:3" x14ac:dyDescent="0.3">
      <c r="A89" s="2" t="s">
        <v>8</v>
      </c>
    </row>
    <row r="90" spans="1:3" x14ac:dyDescent="0.3">
      <c r="A90" s="2" t="s">
        <v>2</v>
      </c>
    </row>
  </sheetData>
  <sortState xmlns:xlrd2="http://schemas.microsoft.com/office/spreadsheetml/2017/richdata2" ref="A48:C49">
    <sortCondition descending="1" ref="A48:A49"/>
  </sortState>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39D42-C5B3-497F-AE79-7EB2E5207B4C}">
  <dimension ref="A1"/>
  <sheetViews>
    <sheetView tabSelected="1" zoomScale="93" zoomScaleNormal="78" workbookViewId="0"/>
  </sheetViews>
  <sheetFormatPr defaultRowHeight="14.4" x14ac:dyDescent="0.3"/>
  <cols>
    <col min="1" max="16384" width="8.88671875" style="5"/>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C91A3-74B2-494B-A10B-97C53676AE55}">
  <dimension ref="A1:W28"/>
  <sheetViews>
    <sheetView workbookViewId="0"/>
  </sheetViews>
  <sheetFormatPr defaultRowHeight="14.4" x14ac:dyDescent="0.3"/>
  <sheetData>
    <row r="1" spans="1:23" x14ac:dyDescent="0.3">
      <c r="A1" s="11"/>
      <c r="B1" s="11"/>
      <c r="C1" s="11"/>
      <c r="D1" s="11"/>
      <c r="E1" s="11"/>
      <c r="F1" s="11"/>
      <c r="G1" s="11"/>
      <c r="H1" s="11"/>
      <c r="I1" s="11"/>
      <c r="J1" s="11"/>
      <c r="K1" s="11"/>
      <c r="L1" s="11"/>
      <c r="M1" s="11"/>
      <c r="N1" s="11"/>
      <c r="O1" s="11"/>
      <c r="P1" s="11"/>
      <c r="Q1" s="11"/>
      <c r="R1" s="11"/>
      <c r="S1" s="11"/>
      <c r="T1" s="11"/>
      <c r="U1" s="11"/>
      <c r="V1" s="11"/>
      <c r="W1" s="11"/>
    </row>
    <row r="2" spans="1:23" x14ac:dyDescent="0.3">
      <c r="A2" s="11"/>
      <c r="B2" s="11"/>
      <c r="C2" s="11"/>
      <c r="D2" s="11"/>
      <c r="E2" s="11"/>
      <c r="F2" s="11"/>
      <c r="G2" s="11"/>
      <c r="H2" s="11"/>
      <c r="I2" s="11"/>
      <c r="J2" s="11"/>
      <c r="K2" s="11"/>
      <c r="L2" s="11"/>
      <c r="M2" s="11"/>
      <c r="N2" s="11"/>
      <c r="O2" s="11"/>
      <c r="P2" s="11"/>
      <c r="Q2" s="11"/>
      <c r="R2" s="11"/>
      <c r="S2" s="11"/>
      <c r="T2" s="11"/>
      <c r="U2" s="11"/>
      <c r="V2" s="11"/>
      <c r="W2" s="11"/>
    </row>
    <row r="3" spans="1:23" x14ac:dyDescent="0.3">
      <c r="A3" s="11"/>
      <c r="B3" s="11"/>
      <c r="C3" s="11"/>
      <c r="D3" s="11"/>
      <c r="E3" s="11"/>
      <c r="F3" s="11"/>
      <c r="G3" s="11"/>
      <c r="H3" s="11"/>
      <c r="I3" s="11"/>
      <c r="J3" s="11"/>
      <c r="K3" s="11"/>
      <c r="L3" s="11"/>
      <c r="M3" s="11"/>
      <c r="N3" s="11"/>
      <c r="O3" s="11"/>
      <c r="P3" s="11"/>
      <c r="Q3" s="11"/>
      <c r="R3" s="11"/>
      <c r="S3" s="11"/>
      <c r="T3" s="11"/>
      <c r="U3" s="11"/>
      <c r="V3" s="11"/>
      <c r="W3" s="11"/>
    </row>
    <row r="4" spans="1:23" x14ac:dyDescent="0.3">
      <c r="A4" s="11"/>
      <c r="B4" s="11"/>
      <c r="C4" s="11"/>
      <c r="D4" s="11"/>
      <c r="E4" s="11"/>
      <c r="F4" s="11"/>
      <c r="G4" s="11"/>
      <c r="H4" s="11"/>
      <c r="I4" s="11"/>
      <c r="J4" s="11"/>
      <c r="K4" s="11"/>
      <c r="L4" s="11"/>
      <c r="M4" s="11"/>
      <c r="N4" s="11"/>
      <c r="O4" s="11"/>
      <c r="P4" s="11"/>
      <c r="Q4" s="11"/>
      <c r="R4" s="11"/>
      <c r="S4" s="11"/>
      <c r="T4" s="11"/>
      <c r="U4" s="11"/>
      <c r="V4" s="11"/>
      <c r="W4" s="11"/>
    </row>
    <row r="5" spans="1:23" x14ac:dyDescent="0.3">
      <c r="A5" s="11"/>
      <c r="B5" s="11"/>
      <c r="C5" s="11"/>
      <c r="D5" s="11"/>
      <c r="E5" s="11"/>
      <c r="F5" s="11"/>
      <c r="G5" s="11"/>
      <c r="H5" s="11"/>
      <c r="I5" s="11"/>
      <c r="J5" s="11"/>
      <c r="K5" s="11"/>
      <c r="L5" s="11"/>
      <c r="M5" s="11"/>
      <c r="N5" s="11"/>
      <c r="O5" s="11"/>
      <c r="P5" s="11"/>
      <c r="Q5" s="11"/>
      <c r="R5" s="11"/>
      <c r="S5" s="11"/>
      <c r="T5" s="11"/>
      <c r="U5" s="11"/>
      <c r="V5" s="11"/>
      <c r="W5" s="11"/>
    </row>
    <row r="6" spans="1:23" x14ac:dyDescent="0.3">
      <c r="A6" s="11"/>
      <c r="B6" s="11"/>
      <c r="C6" s="11"/>
      <c r="D6" s="11"/>
      <c r="E6" s="11"/>
      <c r="F6" s="11"/>
      <c r="G6" s="11"/>
      <c r="H6" s="11"/>
      <c r="I6" s="11"/>
      <c r="J6" s="11"/>
      <c r="K6" s="11"/>
      <c r="L6" s="11"/>
      <c r="M6" s="11"/>
      <c r="N6" s="11"/>
      <c r="O6" s="11"/>
      <c r="P6" s="11"/>
      <c r="Q6" s="11"/>
      <c r="R6" s="11"/>
      <c r="S6" s="11"/>
      <c r="T6" s="11"/>
      <c r="U6" s="11"/>
      <c r="V6" s="11"/>
      <c r="W6" s="11"/>
    </row>
    <row r="7" spans="1:23" x14ac:dyDescent="0.3">
      <c r="A7" s="11"/>
      <c r="B7" s="11"/>
      <c r="C7" s="11"/>
      <c r="D7" s="11"/>
      <c r="E7" s="11"/>
      <c r="F7" s="11"/>
      <c r="G7" s="11"/>
      <c r="H7" s="11"/>
      <c r="I7" s="11"/>
      <c r="J7" s="11"/>
      <c r="K7" s="11"/>
      <c r="L7" s="11"/>
      <c r="M7" s="11"/>
      <c r="N7" s="11"/>
      <c r="O7" s="11"/>
      <c r="P7" s="11"/>
      <c r="Q7" s="11"/>
      <c r="R7" s="11"/>
      <c r="S7" s="11"/>
      <c r="T7" s="11"/>
      <c r="U7" s="11"/>
      <c r="V7" s="11"/>
      <c r="W7" s="11"/>
    </row>
    <row r="8" spans="1:23" x14ac:dyDescent="0.3">
      <c r="A8" s="11"/>
      <c r="B8" s="11"/>
      <c r="C8" s="11"/>
      <c r="D8" s="11"/>
      <c r="E8" s="11"/>
      <c r="F8" s="11"/>
      <c r="G8" s="11"/>
      <c r="H8" s="11"/>
      <c r="I8" s="11"/>
      <c r="J8" s="11"/>
      <c r="K8" s="11"/>
      <c r="L8" s="11"/>
      <c r="M8" s="11"/>
      <c r="N8" s="11"/>
      <c r="O8" s="11"/>
      <c r="P8" s="11"/>
      <c r="Q8" s="11"/>
      <c r="R8" s="11"/>
      <c r="S8" s="11"/>
      <c r="T8" s="11"/>
      <c r="U8" s="11"/>
      <c r="V8" s="11"/>
      <c r="W8" s="11"/>
    </row>
    <row r="9" spans="1:23" x14ac:dyDescent="0.3">
      <c r="A9" s="11"/>
      <c r="B9" s="11"/>
      <c r="C9" s="11"/>
      <c r="D9" s="11"/>
      <c r="E9" s="11"/>
      <c r="F9" s="11"/>
      <c r="G9" s="11"/>
      <c r="H9" s="11"/>
      <c r="I9" s="11"/>
      <c r="J9" s="11"/>
      <c r="K9" s="11"/>
      <c r="L9" s="11"/>
      <c r="M9" s="11"/>
      <c r="N9" s="11"/>
      <c r="O9" s="11"/>
      <c r="P9" s="11"/>
      <c r="Q9" s="11"/>
      <c r="R9" s="11"/>
      <c r="S9" s="11"/>
      <c r="T9" s="11"/>
      <c r="U9" s="11"/>
      <c r="V9" s="11"/>
      <c r="W9" s="11"/>
    </row>
    <row r="10" spans="1:23" x14ac:dyDescent="0.3">
      <c r="A10" s="11"/>
      <c r="B10" s="11"/>
      <c r="C10" s="11"/>
      <c r="D10" s="11"/>
      <c r="E10" s="11"/>
      <c r="F10" s="11"/>
      <c r="G10" s="11"/>
      <c r="H10" s="11"/>
      <c r="I10" s="11"/>
      <c r="J10" s="11"/>
      <c r="K10" s="11"/>
      <c r="L10" s="11"/>
      <c r="M10" s="11"/>
      <c r="N10" s="11"/>
      <c r="O10" s="11"/>
      <c r="P10" s="11"/>
      <c r="Q10" s="11"/>
      <c r="R10" s="11"/>
      <c r="S10" s="11"/>
      <c r="T10" s="11"/>
      <c r="U10" s="11"/>
      <c r="V10" s="11"/>
      <c r="W10" s="11"/>
    </row>
    <row r="11" spans="1:23" x14ac:dyDescent="0.3">
      <c r="A11" s="11"/>
      <c r="B11" s="11"/>
      <c r="C11" s="11"/>
      <c r="D11" s="11"/>
      <c r="E11" s="11"/>
      <c r="F11" s="11"/>
      <c r="G11" s="11"/>
      <c r="H11" s="11"/>
      <c r="I11" s="11"/>
      <c r="J11" s="11"/>
      <c r="K11" s="11"/>
      <c r="L11" s="11"/>
      <c r="M11" s="11"/>
      <c r="N11" s="11"/>
      <c r="O11" s="11"/>
      <c r="P11" s="11"/>
      <c r="Q11" s="11"/>
      <c r="R11" s="11"/>
      <c r="S11" s="11"/>
      <c r="T11" s="11"/>
      <c r="U11" s="11"/>
      <c r="V11" s="11"/>
      <c r="W11" s="11"/>
    </row>
    <row r="12" spans="1:23" x14ac:dyDescent="0.3">
      <c r="A12" s="11"/>
      <c r="B12" s="11"/>
      <c r="C12" s="11"/>
      <c r="D12" s="11"/>
      <c r="E12" s="11"/>
      <c r="F12" s="11"/>
      <c r="G12" s="11"/>
      <c r="H12" s="11"/>
      <c r="I12" s="11"/>
      <c r="J12" s="11"/>
      <c r="K12" s="11"/>
      <c r="L12" s="11"/>
      <c r="M12" s="11"/>
      <c r="N12" s="11"/>
      <c r="O12" s="11"/>
      <c r="P12" s="11"/>
      <c r="Q12" s="11"/>
      <c r="R12" s="11"/>
      <c r="S12" s="11"/>
      <c r="T12" s="11"/>
      <c r="U12" s="11"/>
      <c r="V12" s="11"/>
      <c r="W12" s="11"/>
    </row>
    <row r="13" spans="1:23" x14ac:dyDescent="0.3">
      <c r="A13" s="11"/>
      <c r="B13" s="11"/>
      <c r="C13" s="11"/>
      <c r="D13" s="11"/>
      <c r="E13" s="11"/>
      <c r="F13" s="11"/>
      <c r="G13" s="11"/>
      <c r="H13" s="11"/>
      <c r="I13" s="11"/>
      <c r="J13" s="11"/>
      <c r="K13" s="11"/>
      <c r="L13" s="11"/>
      <c r="M13" s="11"/>
      <c r="N13" s="11"/>
      <c r="O13" s="11"/>
      <c r="P13" s="11"/>
      <c r="Q13" s="11"/>
      <c r="R13" s="11"/>
      <c r="S13" s="11"/>
      <c r="T13" s="11"/>
      <c r="U13" s="11"/>
      <c r="V13" s="11"/>
      <c r="W13" s="11"/>
    </row>
    <row r="14" spans="1:23" x14ac:dyDescent="0.3">
      <c r="A14" s="11"/>
      <c r="B14" s="11"/>
      <c r="C14" s="11"/>
      <c r="D14" s="11"/>
      <c r="E14" s="11"/>
      <c r="F14" s="11"/>
      <c r="G14" s="11"/>
      <c r="H14" s="11"/>
      <c r="I14" s="11"/>
      <c r="J14" s="11"/>
      <c r="K14" s="11"/>
      <c r="L14" s="11"/>
      <c r="M14" s="11"/>
      <c r="N14" s="11"/>
      <c r="O14" s="11"/>
      <c r="P14" s="11"/>
      <c r="Q14" s="11"/>
      <c r="R14" s="11"/>
      <c r="S14" s="11"/>
      <c r="T14" s="11"/>
      <c r="U14" s="11"/>
      <c r="V14" s="11"/>
      <c r="W14" s="11"/>
    </row>
    <row r="15" spans="1:23" x14ac:dyDescent="0.3">
      <c r="A15" s="11"/>
      <c r="B15" s="11"/>
      <c r="C15" s="11"/>
      <c r="D15" s="11"/>
      <c r="E15" s="11"/>
      <c r="F15" s="11"/>
      <c r="G15" s="11"/>
      <c r="H15" s="11"/>
      <c r="I15" s="11"/>
      <c r="J15" s="11"/>
      <c r="K15" s="11"/>
      <c r="L15" s="11"/>
      <c r="M15" s="11"/>
      <c r="N15" s="11"/>
      <c r="O15" s="11"/>
      <c r="P15" s="11"/>
      <c r="Q15" s="11"/>
      <c r="R15" s="11"/>
      <c r="S15" s="11"/>
      <c r="T15" s="11"/>
      <c r="U15" s="11"/>
      <c r="V15" s="11"/>
      <c r="W15" s="11"/>
    </row>
    <row r="16" spans="1:23" x14ac:dyDescent="0.3">
      <c r="A16" s="11"/>
      <c r="B16" s="11"/>
      <c r="C16" s="11"/>
      <c r="D16" s="11"/>
      <c r="E16" s="11"/>
      <c r="F16" s="11"/>
      <c r="G16" s="11"/>
      <c r="H16" s="11"/>
      <c r="I16" s="11"/>
      <c r="J16" s="11"/>
      <c r="K16" s="11"/>
      <c r="L16" s="11"/>
      <c r="M16" s="11"/>
      <c r="N16" s="11"/>
      <c r="O16" s="11"/>
      <c r="P16" s="11"/>
      <c r="Q16" s="11"/>
      <c r="R16" s="11"/>
      <c r="S16" s="11"/>
      <c r="T16" s="11"/>
      <c r="U16" s="11"/>
      <c r="V16" s="11"/>
      <c r="W16" s="11"/>
    </row>
    <row r="17" spans="1:23" x14ac:dyDescent="0.3">
      <c r="A17" s="11"/>
      <c r="B17" s="11"/>
      <c r="C17" s="11"/>
      <c r="D17" s="11"/>
      <c r="E17" s="11"/>
      <c r="F17" s="11"/>
      <c r="G17" s="11"/>
      <c r="H17" s="11"/>
      <c r="I17" s="11"/>
      <c r="J17" s="11"/>
      <c r="K17" s="11"/>
      <c r="L17" s="11"/>
      <c r="M17" s="11"/>
      <c r="N17" s="11"/>
      <c r="O17" s="11"/>
      <c r="P17" s="11"/>
      <c r="Q17" s="11"/>
      <c r="R17" s="11"/>
      <c r="S17" s="11"/>
      <c r="T17" s="11"/>
      <c r="U17" s="11"/>
      <c r="V17" s="11"/>
      <c r="W17" s="11"/>
    </row>
    <row r="18" spans="1:23" x14ac:dyDescent="0.3">
      <c r="A18" s="11"/>
      <c r="B18" s="11"/>
      <c r="C18" s="11"/>
      <c r="D18" s="11"/>
      <c r="E18" s="11"/>
      <c r="F18" s="11"/>
      <c r="G18" s="11"/>
      <c r="H18" s="11"/>
      <c r="I18" s="11"/>
      <c r="J18" s="11"/>
      <c r="K18" s="11"/>
      <c r="L18" s="11"/>
      <c r="M18" s="11"/>
      <c r="N18" s="11"/>
      <c r="O18" s="11"/>
      <c r="P18" s="11"/>
      <c r="Q18" s="11"/>
      <c r="R18" s="11"/>
      <c r="S18" s="11"/>
      <c r="T18" s="11"/>
      <c r="U18" s="11"/>
      <c r="V18" s="11"/>
      <c r="W18" s="11"/>
    </row>
    <row r="19" spans="1:23" x14ac:dyDescent="0.3">
      <c r="A19" s="11"/>
      <c r="B19" s="11"/>
      <c r="C19" s="11"/>
      <c r="D19" s="11"/>
      <c r="E19" s="11"/>
      <c r="F19" s="11"/>
      <c r="G19" s="11"/>
      <c r="H19" s="11"/>
      <c r="I19" s="11"/>
      <c r="J19" s="11"/>
      <c r="K19" s="11"/>
      <c r="L19" s="11"/>
      <c r="M19" s="11"/>
      <c r="N19" s="11"/>
      <c r="O19" s="11"/>
      <c r="P19" s="11"/>
      <c r="Q19" s="11"/>
      <c r="R19" s="11"/>
      <c r="S19" s="11"/>
      <c r="T19" s="11"/>
      <c r="U19" s="11"/>
      <c r="V19" s="11"/>
      <c r="W19" s="11"/>
    </row>
    <row r="20" spans="1:23" x14ac:dyDescent="0.3">
      <c r="A20" s="11"/>
      <c r="B20" s="11"/>
      <c r="C20" s="11"/>
      <c r="D20" s="11"/>
      <c r="E20" s="11"/>
      <c r="F20" s="11"/>
      <c r="G20" s="11"/>
      <c r="H20" s="11"/>
      <c r="I20" s="11"/>
      <c r="J20" s="11"/>
      <c r="K20" s="11"/>
      <c r="L20" s="11"/>
      <c r="M20" s="11"/>
      <c r="N20" s="11"/>
      <c r="O20" s="11"/>
      <c r="P20" s="11"/>
      <c r="Q20" s="11"/>
      <c r="R20" s="11"/>
      <c r="S20" s="11"/>
      <c r="T20" s="11"/>
      <c r="U20" s="11"/>
      <c r="V20" s="11"/>
      <c r="W20" s="11"/>
    </row>
    <row r="21" spans="1:23" x14ac:dyDescent="0.3">
      <c r="A21" s="11"/>
      <c r="B21" s="11"/>
      <c r="C21" s="11"/>
      <c r="D21" s="11"/>
      <c r="E21" s="11"/>
      <c r="F21" s="11"/>
      <c r="G21" s="11"/>
      <c r="H21" s="11"/>
      <c r="I21" s="11"/>
      <c r="J21" s="11"/>
      <c r="K21" s="11"/>
      <c r="L21" s="11"/>
      <c r="M21" s="11"/>
      <c r="N21" s="11"/>
      <c r="O21" s="11"/>
      <c r="P21" s="11"/>
      <c r="Q21" s="11"/>
      <c r="R21" s="11"/>
      <c r="S21" s="11"/>
      <c r="T21" s="11"/>
      <c r="U21" s="11"/>
      <c r="V21" s="11"/>
      <c r="W21" s="11"/>
    </row>
    <row r="22" spans="1:23" x14ac:dyDescent="0.3">
      <c r="A22" s="11"/>
      <c r="B22" s="11"/>
      <c r="C22" s="11"/>
      <c r="D22" s="11"/>
      <c r="E22" s="11"/>
      <c r="F22" s="11"/>
      <c r="G22" s="11"/>
      <c r="H22" s="11"/>
      <c r="I22" s="11"/>
      <c r="J22" s="11"/>
      <c r="K22" s="11"/>
      <c r="L22" s="11"/>
      <c r="M22" s="11"/>
      <c r="N22" s="11"/>
      <c r="O22" s="11"/>
      <c r="P22" s="11"/>
      <c r="Q22" s="11"/>
      <c r="R22" s="11"/>
      <c r="S22" s="11"/>
      <c r="T22" s="11"/>
      <c r="U22" s="11"/>
      <c r="V22" s="11"/>
      <c r="W22" s="11"/>
    </row>
    <row r="23" spans="1:23" x14ac:dyDescent="0.3">
      <c r="A23" s="11"/>
      <c r="B23" s="11"/>
      <c r="C23" s="11"/>
      <c r="D23" s="11"/>
      <c r="E23" s="11"/>
      <c r="F23" s="11"/>
      <c r="G23" s="11"/>
      <c r="H23" s="11"/>
      <c r="I23" s="11"/>
      <c r="J23" s="11"/>
      <c r="K23" s="11"/>
      <c r="L23" s="11"/>
      <c r="M23" s="11"/>
      <c r="N23" s="11"/>
      <c r="O23" s="11"/>
      <c r="P23" s="11"/>
      <c r="Q23" s="11"/>
      <c r="R23" s="11"/>
      <c r="S23" s="11"/>
      <c r="T23" s="11"/>
      <c r="U23" s="11"/>
      <c r="V23" s="11"/>
      <c r="W23" s="11"/>
    </row>
    <row r="24" spans="1:23" x14ac:dyDescent="0.3">
      <c r="A24" s="11"/>
      <c r="B24" s="11"/>
      <c r="C24" s="11"/>
      <c r="D24" s="11"/>
      <c r="E24" s="11"/>
      <c r="F24" s="11"/>
      <c r="G24" s="11"/>
      <c r="H24" s="11"/>
      <c r="I24" s="11"/>
      <c r="J24" s="11"/>
      <c r="K24" s="11"/>
      <c r="L24" s="11"/>
      <c r="M24" s="11"/>
      <c r="N24" s="11"/>
      <c r="O24" s="11"/>
      <c r="P24" s="11"/>
      <c r="Q24" s="11"/>
      <c r="R24" s="11"/>
      <c r="S24" s="11"/>
      <c r="T24" s="11"/>
      <c r="U24" s="11"/>
      <c r="V24" s="11"/>
      <c r="W24" s="11"/>
    </row>
    <row r="25" spans="1:23" x14ac:dyDescent="0.3">
      <c r="A25" s="11"/>
      <c r="B25" s="11"/>
      <c r="C25" s="11"/>
      <c r="D25" s="11"/>
      <c r="E25" s="11"/>
      <c r="F25" s="11"/>
      <c r="G25" s="11"/>
      <c r="H25" s="11"/>
      <c r="I25" s="11"/>
      <c r="J25" s="11"/>
      <c r="K25" s="11"/>
      <c r="L25" s="11"/>
      <c r="M25" s="11"/>
      <c r="N25" s="11"/>
      <c r="O25" s="11"/>
      <c r="P25" s="11"/>
      <c r="Q25" s="11"/>
      <c r="R25" s="11"/>
      <c r="S25" s="11"/>
      <c r="T25" s="11"/>
      <c r="U25" s="11"/>
      <c r="V25" s="11"/>
      <c r="W25" s="11"/>
    </row>
    <row r="26" spans="1:23" x14ac:dyDescent="0.3">
      <c r="A26" s="11"/>
      <c r="B26" s="11"/>
      <c r="C26" s="11"/>
      <c r="D26" s="11"/>
      <c r="E26" s="11"/>
      <c r="F26" s="11"/>
      <c r="G26" s="11"/>
      <c r="H26" s="11"/>
      <c r="I26" s="11"/>
      <c r="J26" s="11"/>
      <c r="K26" s="11"/>
      <c r="L26" s="11"/>
      <c r="M26" s="11"/>
      <c r="N26" s="11"/>
      <c r="O26" s="11"/>
      <c r="P26" s="11"/>
      <c r="Q26" s="11"/>
      <c r="R26" s="11"/>
      <c r="S26" s="11"/>
      <c r="T26" s="11"/>
      <c r="U26" s="11"/>
      <c r="V26" s="11"/>
      <c r="W26" s="11"/>
    </row>
    <row r="27" spans="1:23" x14ac:dyDescent="0.3">
      <c r="A27" s="11"/>
      <c r="B27" s="11"/>
      <c r="C27" s="11"/>
      <c r="D27" s="11"/>
      <c r="E27" s="11"/>
      <c r="F27" s="11"/>
      <c r="G27" s="11"/>
      <c r="H27" s="11"/>
      <c r="I27" s="11"/>
      <c r="J27" s="11"/>
      <c r="K27" s="11"/>
      <c r="L27" s="11"/>
      <c r="M27" s="11"/>
      <c r="N27" s="11"/>
      <c r="O27" s="11"/>
      <c r="P27" s="11"/>
      <c r="Q27" s="11"/>
      <c r="R27" s="11"/>
      <c r="S27" s="11"/>
      <c r="T27" s="11"/>
      <c r="U27" s="11"/>
      <c r="V27" s="11"/>
      <c r="W27" s="11"/>
    </row>
    <row r="28" spans="1:23" x14ac:dyDescent="0.3">
      <c r="A28" s="11"/>
      <c r="B28" s="11"/>
      <c r="C28" s="11"/>
      <c r="D28" s="11"/>
      <c r="E28" s="11"/>
      <c r="F28" s="11"/>
      <c r="G28" s="11"/>
      <c r="H28" s="11"/>
      <c r="I28" s="11"/>
      <c r="J28" s="11"/>
      <c r="K28" s="11"/>
      <c r="L28" s="11"/>
      <c r="M28" s="11"/>
      <c r="N28" s="11"/>
      <c r="O28" s="11"/>
      <c r="P28" s="11"/>
      <c r="Q28" s="11"/>
      <c r="R28" s="11"/>
      <c r="S28" s="11"/>
      <c r="T28" s="11"/>
      <c r="U28" s="11"/>
      <c r="V28" s="11"/>
      <c r="W28" s="1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93E9-A864-435D-9F78-4F02E62549B6}">
  <dimension ref="A1:S28"/>
  <sheetViews>
    <sheetView workbookViewId="0"/>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x14ac:dyDescent="0.3">
      <c r="A23" s="5"/>
      <c r="B23" s="5"/>
      <c r="C23" s="5"/>
      <c r="D23" s="5"/>
      <c r="E23" s="5"/>
      <c r="F23" s="5"/>
      <c r="G23" s="5"/>
      <c r="H23" s="5"/>
      <c r="I23" s="5"/>
      <c r="J23" s="5"/>
      <c r="K23" s="5"/>
      <c r="L23" s="5"/>
      <c r="M23" s="5"/>
      <c r="N23" s="5"/>
      <c r="O23" s="5"/>
      <c r="P23" s="5"/>
      <c r="Q23" s="5"/>
      <c r="R23" s="5"/>
      <c r="S23" s="5"/>
    </row>
    <row r="24" spans="1:19" x14ac:dyDescent="0.3">
      <c r="A24" s="5"/>
      <c r="B24" s="5"/>
      <c r="C24" s="5"/>
      <c r="D24" s="5"/>
      <c r="E24" s="5"/>
      <c r="F24" s="5"/>
      <c r="G24" s="5"/>
      <c r="H24" s="5"/>
      <c r="I24" s="5"/>
      <c r="J24" s="5"/>
      <c r="K24" s="5"/>
      <c r="L24" s="5"/>
      <c r="M24" s="5"/>
      <c r="N24" s="5"/>
      <c r="O24" s="5"/>
      <c r="P24" s="5"/>
      <c r="Q24" s="5"/>
      <c r="R24" s="5"/>
      <c r="S24" s="5"/>
    </row>
    <row r="25" spans="1:19" x14ac:dyDescent="0.3">
      <c r="A25" s="5"/>
      <c r="B25" s="5"/>
      <c r="C25" s="5"/>
      <c r="D25" s="5"/>
      <c r="E25" s="5"/>
      <c r="F25" s="5"/>
      <c r="G25" s="5"/>
      <c r="H25" s="5"/>
      <c r="I25" s="5"/>
      <c r="J25" s="5"/>
      <c r="K25" s="5"/>
      <c r="L25" s="5"/>
      <c r="M25" s="5"/>
      <c r="N25" s="5"/>
      <c r="O25" s="5"/>
      <c r="P25" s="5"/>
      <c r="Q25" s="5"/>
      <c r="R25" s="5"/>
      <c r="S25" s="5"/>
    </row>
    <row r="26" spans="1:19" x14ac:dyDescent="0.3">
      <c r="A26" s="5"/>
      <c r="B26" s="5"/>
      <c r="C26" s="5"/>
      <c r="D26" s="5"/>
      <c r="E26" s="5"/>
      <c r="F26" s="5"/>
      <c r="G26" s="5"/>
      <c r="H26" s="5"/>
      <c r="I26" s="5"/>
      <c r="J26" s="5"/>
      <c r="K26" s="5"/>
      <c r="L26" s="5"/>
      <c r="M26" s="5"/>
      <c r="N26" s="5"/>
      <c r="O26" s="5"/>
      <c r="P26" s="5"/>
      <c r="Q26" s="5"/>
      <c r="R26" s="5"/>
      <c r="S26" s="5"/>
    </row>
    <row r="27" spans="1:19" x14ac:dyDescent="0.3">
      <c r="A27" s="5"/>
      <c r="B27" s="5"/>
      <c r="C27" s="5"/>
      <c r="D27" s="5"/>
      <c r="E27" s="5"/>
      <c r="F27" s="5"/>
      <c r="G27" s="5"/>
      <c r="H27" s="5"/>
      <c r="I27" s="5"/>
      <c r="J27" s="5"/>
      <c r="K27" s="5"/>
      <c r="L27" s="5"/>
      <c r="M27" s="5"/>
      <c r="N27" s="5"/>
      <c r="O27" s="5"/>
      <c r="P27" s="5"/>
      <c r="Q27" s="5"/>
      <c r="R27" s="5"/>
      <c r="S27" s="5"/>
    </row>
    <row r="28" spans="1:19" x14ac:dyDescent="0.3">
      <c r="A28" s="5"/>
      <c r="B28" s="5"/>
      <c r="C28" s="5"/>
      <c r="D28" s="5"/>
      <c r="E28" s="5"/>
      <c r="F28" s="5"/>
      <c r="G28" s="5"/>
      <c r="H28" s="5"/>
      <c r="I28" s="5"/>
      <c r="J28" s="5"/>
      <c r="K28" s="5"/>
      <c r="L28" s="5"/>
      <c r="M28" s="5"/>
      <c r="N28" s="5"/>
      <c r="O28" s="5"/>
      <c r="P28" s="5"/>
      <c r="Q28" s="5"/>
      <c r="R28" s="5"/>
      <c r="S28" s="5"/>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38A73-E2B9-42D8-B459-9A4F71BAF28F}">
  <dimension ref="A1:S29"/>
  <sheetViews>
    <sheetView workbookViewId="0"/>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x14ac:dyDescent="0.3">
      <c r="A23" s="5"/>
      <c r="B23" s="5"/>
      <c r="C23" s="5"/>
      <c r="D23" s="5"/>
      <c r="E23" s="5"/>
      <c r="F23" s="5"/>
      <c r="G23" s="5"/>
      <c r="H23" s="5"/>
      <c r="I23" s="5"/>
      <c r="J23" s="5"/>
      <c r="K23" s="5"/>
      <c r="L23" s="5"/>
      <c r="M23" s="5"/>
      <c r="N23" s="5"/>
      <c r="O23" s="5"/>
      <c r="P23" s="5"/>
      <c r="Q23" s="5"/>
      <c r="R23" s="5"/>
      <c r="S23" s="5"/>
    </row>
    <row r="24" spans="1:19" x14ac:dyDescent="0.3">
      <c r="A24" s="5"/>
      <c r="B24" s="5"/>
      <c r="C24" s="5"/>
      <c r="D24" s="5"/>
      <c r="E24" s="5"/>
      <c r="F24" s="5"/>
      <c r="G24" s="5"/>
      <c r="H24" s="5"/>
      <c r="I24" s="5"/>
      <c r="J24" s="5"/>
      <c r="K24" s="5"/>
      <c r="L24" s="5"/>
      <c r="M24" s="5"/>
      <c r="N24" s="5"/>
      <c r="O24" s="5"/>
      <c r="P24" s="5"/>
      <c r="Q24" s="5"/>
      <c r="R24" s="5"/>
      <c r="S24" s="5"/>
    </row>
    <row r="25" spans="1:19" x14ac:dyDescent="0.3">
      <c r="A25" s="5"/>
      <c r="B25" s="5"/>
      <c r="C25" s="5"/>
      <c r="D25" s="5"/>
      <c r="E25" s="5"/>
      <c r="F25" s="5"/>
      <c r="G25" s="5"/>
      <c r="H25" s="5"/>
      <c r="I25" s="5"/>
      <c r="J25" s="5"/>
      <c r="K25" s="5"/>
      <c r="L25" s="5"/>
      <c r="M25" s="5"/>
      <c r="N25" s="5"/>
      <c r="O25" s="5"/>
      <c r="P25" s="5"/>
      <c r="Q25" s="5"/>
      <c r="R25" s="5"/>
      <c r="S25" s="5"/>
    </row>
    <row r="26" spans="1:19" x14ac:dyDescent="0.3">
      <c r="A26" s="5"/>
      <c r="B26" s="5"/>
      <c r="C26" s="5"/>
      <c r="D26" s="5"/>
      <c r="E26" s="5"/>
      <c r="F26" s="5"/>
      <c r="G26" s="5"/>
      <c r="H26" s="5"/>
      <c r="I26" s="5"/>
      <c r="J26" s="5"/>
      <c r="K26" s="5"/>
      <c r="L26" s="5"/>
      <c r="M26" s="5"/>
      <c r="N26" s="5"/>
      <c r="O26" s="5"/>
      <c r="P26" s="5"/>
      <c r="Q26" s="5"/>
      <c r="R26" s="5"/>
      <c r="S26" s="5"/>
    </row>
    <row r="27" spans="1:19" x14ac:dyDescent="0.3">
      <c r="A27" s="5"/>
      <c r="B27" s="5"/>
      <c r="C27" s="5"/>
      <c r="D27" s="5"/>
      <c r="E27" s="5"/>
      <c r="F27" s="5"/>
      <c r="G27" s="5"/>
      <c r="H27" s="5"/>
      <c r="I27" s="5"/>
      <c r="J27" s="5"/>
      <c r="K27" s="5"/>
      <c r="L27" s="5"/>
      <c r="M27" s="5"/>
      <c r="N27" s="5"/>
      <c r="O27" s="5"/>
      <c r="P27" s="5"/>
      <c r="Q27" s="5"/>
      <c r="R27" s="5"/>
      <c r="S27" s="5"/>
    </row>
    <row r="28" spans="1:19" x14ac:dyDescent="0.3">
      <c r="A28" s="5"/>
      <c r="B28" s="5"/>
      <c r="C28" s="5"/>
      <c r="D28" s="5"/>
      <c r="E28" s="5"/>
      <c r="F28" s="5"/>
      <c r="G28" s="5"/>
      <c r="H28" s="5"/>
      <c r="I28" s="5"/>
      <c r="J28" s="5"/>
      <c r="K28" s="5"/>
      <c r="L28" s="5"/>
      <c r="M28" s="5"/>
      <c r="N28" s="5"/>
      <c r="O28" s="5"/>
      <c r="P28" s="5"/>
      <c r="Q28" s="5"/>
      <c r="R28" s="5"/>
      <c r="S28" s="5"/>
    </row>
    <row r="29" spans="1:19" x14ac:dyDescent="0.3">
      <c r="A29" s="5"/>
      <c r="B29" s="5"/>
      <c r="C29" s="5"/>
      <c r="D29" s="5"/>
      <c r="E29" s="5"/>
      <c r="F29" s="5"/>
      <c r="G29" s="5"/>
      <c r="H29" s="5"/>
      <c r="I29" s="5"/>
      <c r="J29" s="5"/>
      <c r="K29" s="5"/>
      <c r="L29" s="5"/>
      <c r="M29" s="5"/>
      <c r="N29" s="5"/>
      <c r="O29" s="5"/>
      <c r="P29" s="5"/>
      <c r="Q29" s="5"/>
      <c r="R29" s="5"/>
      <c r="S29"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D259EA2-46BF-4B97-B2B6-43993BDAB69C}">
  <ds:schemaRefs/>
</ds:datastoreItem>
</file>

<file path=customXml/itemProps2.xml><?xml version="1.0" encoding="utf-8"?>
<ds:datastoreItem xmlns:ds="http://schemas.openxmlformats.org/officeDocument/2006/customXml" ds:itemID="{4AE3BAB4-33C9-4DE3-9EAD-687618902BA7}">
  <ds:schemaRefs/>
</ds:datastoreItem>
</file>

<file path=customXml/itemProps3.xml><?xml version="1.0" encoding="utf-8"?>
<ds:datastoreItem xmlns:ds="http://schemas.openxmlformats.org/officeDocument/2006/customXml" ds:itemID="{48EBDE84-2DC5-479E-922E-958BA5DDED9E}">
  <ds:schemaRefs/>
</ds:datastoreItem>
</file>

<file path=customXml/itemProps4.xml><?xml version="1.0" encoding="utf-8"?>
<ds:datastoreItem xmlns:ds="http://schemas.openxmlformats.org/officeDocument/2006/customXml" ds:itemID="{CF51FE98-237E-4E06-802E-6F3A767F9483}">
  <ds:schemaRefs/>
</ds:datastoreItem>
</file>

<file path=customXml/itemProps5.xml><?xml version="1.0" encoding="utf-8"?>
<ds:datastoreItem xmlns:ds="http://schemas.openxmlformats.org/officeDocument/2006/customXml" ds:itemID="{9D2505B8-8604-4D1A-BA31-51DDAA4C601F}">
  <ds:schemaRefs/>
</ds:datastoreItem>
</file>

<file path=customXml/itemProps6.xml><?xml version="1.0" encoding="utf-8"?>
<ds:datastoreItem xmlns:ds="http://schemas.openxmlformats.org/officeDocument/2006/customXml" ds:itemID="{928A5DF6-0BFC-456D-A32A-6ED459A81325}">
  <ds:schemaRefs/>
</ds:datastoreItem>
</file>

<file path=customXml/itemProps7.xml><?xml version="1.0" encoding="utf-8"?>
<ds:datastoreItem xmlns:ds="http://schemas.openxmlformats.org/officeDocument/2006/customXml" ds:itemID="{BE56457C-CAF0-4901-9EE3-046D52001385}">
  <ds:schemaRefs>
    <ds:schemaRef ds:uri="http://schemas.microsoft.com/DataMashup"/>
  </ds:schemaRefs>
</ds:datastoreItem>
</file>

<file path=customXml/itemProps8.xml><?xml version="1.0" encoding="utf-8"?>
<ds:datastoreItem xmlns:ds="http://schemas.openxmlformats.org/officeDocument/2006/customXml" ds:itemID="{2676939E-E24F-45E0-91FC-CDEC495511A7}">
  <ds:schemaRefs/>
</ds:datastoreItem>
</file>

<file path=customXml/itemProps9.xml><?xml version="1.0" encoding="utf-8"?>
<ds:datastoreItem xmlns:ds="http://schemas.openxmlformats.org/officeDocument/2006/customXml" ds:itemID="{78166D70-0D0B-4318-9112-79CF356CB1E5}">
  <ds:schemaRefs/>
</ds:datastoreItem>
</file>

<file path=customXml/itemProps10.xml><?xml version="1.0" encoding="utf-8"?>
<ds:datastoreItem xmlns:ds="http://schemas.openxmlformats.org/officeDocument/2006/customXml" ds:itemID="{2644F772-F113-4140-B3BF-35877B704341}">
  <ds:schemaRefs/>
</ds:datastoreItem>
</file>

<file path=customXml/itemProps11.xml><?xml version="1.0" encoding="utf-8"?>
<ds:datastoreItem xmlns:ds="http://schemas.openxmlformats.org/officeDocument/2006/customXml" ds:itemID="{635E3332-A4AC-4B08-9B40-60A4E8B9097D}">
  <ds:schemaRefs/>
</ds:datastoreItem>
</file>

<file path=customXml/itemProps12.xml><?xml version="1.0" encoding="utf-8"?>
<ds:datastoreItem xmlns:ds="http://schemas.openxmlformats.org/officeDocument/2006/customXml" ds:itemID="{1465F988-BDF6-47FE-85AE-32571B690404}">
  <ds:schemaRefs/>
</ds:datastoreItem>
</file>

<file path=customXml/itemProps13.xml><?xml version="1.0" encoding="utf-8"?>
<ds:datastoreItem xmlns:ds="http://schemas.openxmlformats.org/officeDocument/2006/customXml" ds:itemID="{A656D22B-14FD-4AD0-8A38-38F6741CDFDB}">
  <ds:schemaRefs/>
</ds:datastoreItem>
</file>

<file path=customXml/itemProps14.xml><?xml version="1.0" encoding="utf-8"?>
<ds:datastoreItem xmlns:ds="http://schemas.openxmlformats.org/officeDocument/2006/customXml" ds:itemID="{893F3EEE-5CEA-47C0-B7EF-2A1378C714EB}">
  <ds:schemaRefs/>
</ds:datastoreItem>
</file>

<file path=customXml/itemProps15.xml><?xml version="1.0" encoding="utf-8"?>
<ds:datastoreItem xmlns:ds="http://schemas.openxmlformats.org/officeDocument/2006/customXml" ds:itemID="{836DF1E1-6740-47B8-BD2D-60D3C32C90AD}">
  <ds:schemaRefs/>
</ds:datastoreItem>
</file>

<file path=customXml/itemProps16.xml><?xml version="1.0" encoding="utf-8"?>
<ds:datastoreItem xmlns:ds="http://schemas.openxmlformats.org/officeDocument/2006/customXml" ds:itemID="{D7F16F5F-A495-4127-8DC1-C8DDE7A66046}">
  <ds:schemaRefs/>
</ds:datastoreItem>
</file>

<file path=customXml/itemProps17.xml><?xml version="1.0" encoding="utf-8"?>
<ds:datastoreItem xmlns:ds="http://schemas.openxmlformats.org/officeDocument/2006/customXml" ds:itemID="{F4E2F419-73D4-4EB4-96FC-018C8946B9D0}">
  <ds:schemaRefs/>
</ds:datastoreItem>
</file>

<file path=customXml/itemProps18.xml><?xml version="1.0" encoding="utf-8"?>
<ds:datastoreItem xmlns:ds="http://schemas.openxmlformats.org/officeDocument/2006/customXml" ds:itemID="{D4636AD9-FDAF-4970-AA81-6E2BE2AFF5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Satwik Singh</dc:creator>
  <cp:lastModifiedBy>Satwik Singh</cp:lastModifiedBy>
  <dcterms:created xsi:type="dcterms:W3CDTF">2025-12-15T00:41:14Z</dcterms:created>
  <dcterms:modified xsi:type="dcterms:W3CDTF">2025-12-16T17:32:51Z</dcterms:modified>
</cp:coreProperties>
</file>